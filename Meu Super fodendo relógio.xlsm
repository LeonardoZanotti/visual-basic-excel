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0" windowWidth="19200" windowHeight="11370" activeTab="1"/>
  </bookViews>
  <sheets>
    <sheet name="Plan1" sheetId="1" r:id="rId1"/>
    <sheet name="Relógio" sheetId="2" r:id="rId2"/>
    <sheet name="ç" sheetId="3" r:id="rId3"/>
  </sheets>
  <calcPr calcId="125725"/>
</workbook>
</file>

<file path=xl/calcChain.xml><?xml version="1.0" encoding="utf-8"?>
<calcChain xmlns="http://schemas.openxmlformats.org/spreadsheetml/2006/main">
  <c r="F14" i="2"/>
  <c r="F15"/>
  <c r="F16"/>
  <c r="F17"/>
  <c r="F18"/>
  <c r="F19"/>
  <c r="F20"/>
  <c r="F21"/>
  <c r="F22"/>
  <c r="F23"/>
  <c r="F24"/>
  <c r="E14"/>
  <c r="E15"/>
  <c r="E16"/>
  <c r="E17"/>
  <c r="E18"/>
  <c r="E19"/>
  <c r="E20"/>
  <c r="E21"/>
  <c r="E22"/>
  <c r="E23"/>
  <c r="E24"/>
  <c r="F13"/>
  <c r="E13"/>
  <c r="E3"/>
  <c r="C8" s="1"/>
  <c r="D8" s="1"/>
  <c r="H8" s="1"/>
  <c r="K15" i="1"/>
  <c r="C22"/>
  <c r="A23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C175" s="1"/>
  <c r="G8" i="2" l="1"/>
  <c r="C9"/>
  <c r="D9" s="1"/>
  <c r="H9" s="1"/>
  <c r="C7"/>
  <c r="D7" s="1"/>
  <c r="H7" s="1"/>
  <c r="G22" i="1"/>
  <c r="A176"/>
  <c r="C173"/>
  <c r="C167"/>
  <c r="C163"/>
  <c r="C159"/>
  <c r="C155"/>
  <c r="C153"/>
  <c r="C149"/>
  <c r="C145"/>
  <c r="C141"/>
  <c r="C137"/>
  <c r="C135"/>
  <c r="D135" s="1"/>
  <c r="C131"/>
  <c r="C125"/>
  <c r="G174"/>
  <c r="G170"/>
  <c r="G166"/>
  <c r="G162"/>
  <c r="G158"/>
  <c r="G156"/>
  <c r="G152"/>
  <c r="G150"/>
  <c r="G148"/>
  <c r="G146"/>
  <c r="G144"/>
  <c r="G142"/>
  <c r="G140"/>
  <c r="G136"/>
  <c r="G134"/>
  <c r="G132"/>
  <c r="G130"/>
  <c r="G128"/>
  <c r="G126"/>
  <c r="G124"/>
  <c r="C174"/>
  <c r="C172"/>
  <c r="C170"/>
  <c r="C168"/>
  <c r="C166"/>
  <c r="C164"/>
  <c r="D164" s="1"/>
  <c r="C162"/>
  <c r="C160"/>
  <c r="C158"/>
  <c r="C156"/>
  <c r="C154"/>
  <c r="C152"/>
  <c r="C150"/>
  <c r="C148"/>
  <c r="C146"/>
  <c r="D146" s="1"/>
  <c r="C144"/>
  <c r="C142"/>
  <c r="C140"/>
  <c r="C138"/>
  <c r="C136"/>
  <c r="C134"/>
  <c r="C132"/>
  <c r="C130"/>
  <c r="C128"/>
  <c r="C126"/>
  <c r="C124"/>
  <c r="G175"/>
  <c r="G173"/>
  <c r="G171"/>
  <c r="G169"/>
  <c r="G167"/>
  <c r="H167" s="1"/>
  <c r="G165"/>
  <c r="G163"/>
  <c r="G161"/>
  <c r="G159"/>
  <c r="G157"/>
  <c r="G155"/>
  <c r="G153"/>
  <c r="G151"/>
  <c r="H151" s="1"/>
  <c r="G149"/>
  <c r="G147"/>
  <c r="G145"/>
  <c r="G143"/>
  <c r="H143" s="1"/>
  <c r="G141"/>
  <c r="G139"/>
  <c r="G137"/>
  <c r="H137" s="1"/>
  <c r="G135"/>
  <c r="H135" s="1"/>
  <c r="G133"/>
  <c r="H133" s="1"/>
  <c r="G131"/>
  <c r="H131" s="1"/>
  <c r="G129"/>
  <c r="H129" s="1"/>
  <c r="G127"/>
  <c r="H127" s="1"/>
  <c r="G125"/>
  <c r="H125" s="1"/>
  <c r="G123"/>
  <c r="C171"/>
  <c r="C169"/>
  <c r="D169" s="1"/>
  <c r="C165"/>
  <c r="C161"/>
  <c r="C157"/>
  <c r="D157" s="1"/>
  <c r="C151"/>
  <c r="C147"/>
  <c r="C143"/>
  <c r="D143" s="1"/>
  <c r="C139"/>
  <c r="C133"/>
  <c r="C129"/>
  <c r="D129" s="1"/>
  <c r="C127"/>
  <c r="D127" s="1"/>
  <c r="C123"/>
  <c r="G172"/>
  <c r="G168"/>
  <c r="G164"/>
  <c r="H164" s="1"/>
  <c r="G160"/>
  <c r="G154"/>
  <c r="G138"/>
  <c r="G122"/>
  <c r="C120"/>
  <c r="C116"/>
  <c r="C112"/>
  <c r="C108"/>
  <c r="C104"/>
  <c r="C100"/>
  <c r="C96"/>
  <c r="C92"/>
  <c r="C88"/>
  <c r="C84"/>
  <c r="C80"/>
  <c r="C76"/>
  <c r="C72"/>
  <c r="C68"/>
  <c r="C64"/>
  <c r="C58"/>
  <c r="C54"/>
  <c r="C50"/>
  <c r="C46"/>
  <c r="C42"/>
  <c r="C38"/>
  <c r="C34"/>
  <c r="C32"/>
  <c r="C28"/>
  <c r="C26"/>
  <c r="C24"/>
  <c r="G121"/>
  <c r="G119"/>
  <c r="G117"/>
  <c r="G115"/>
  <c r="G113"/>
  <c r="G111"/>
  <c r="G109"/>
  <c r="G107"/>
  <c r="G105"/>
  <c r="G103"/>
  <c r="G101"/>
  <c r="G99"/>
  <c r="G97"/>
  <c r="G95"/>
  <c r="G93"/>
  <c r="G91"/>
  <c r="G89"/>
  <c r="G87"/>
  <c r="G85"/>
  <c r="G83"/>
  <c r="G81"/>
  <c r="G79"/>
  <c r="G77"/>
  <c r="G75"/>
  <c r="G73"/>
  <c r="G71"/>
  <c r="G69"/>
  <c r="G67"/>
  <c r="G65"/>
  <c r="G63"/>
  <c r="G61"/>
  <c r="G59"/>
  <c r="G57"/>
  <c r="G55"/>
  <c r="G53"/>
  <c r="G51"/>
  <c r="G49"/>
  <c r="G47"/>
  <c r="G45"/>
  <c r="G43"/>
  <c r="G41"/>
  <c r="G39"/>
  <c r="G37"/>
  <c r="G35"/>
  <c r="G33"/>
  <c r="G31"/>
  <c r="G29"/>
  <c r="G27"/>
  <c r="G25"/>
  <c r="G23"/>
  <c r="C122"/>
  <c r="C118"/>
  <c r="C114"/>
  <c r="C110"/>
  <c r="C106"/>
  <c r="C102"/>
  <c r="C98"/>
  <c r="C94"/>
  <c r="C90"/>
  <c r="C86"/>
  <c r="C82"/>
  <c r="C78"/>
  <c r="C74"/>
  <c r="C70"/>
  <c r="C66"/>
  <c r="C62"/>
  <c r="C60"/>
  <c r="D60" s="1"/>
  <c r="E60" s="1"/>
  <c r="C56"/>
  <c r="C52"/>
  <c r="C48"/>
  <c r="C44"/>
  <c r="D44" s="1"/>
  <c r="E44" s="1"/>
  <c r="C40"/>
  <c r="C36"/>
  <c r="C30"/>
  <c r="C121"/>
  <c r="D121" s="1"/>
  <c r="C119"/>
  <c r="D119" s="1"/>
  <c r="C117"/>
  <c r="C115"/>
  <c r="C113"/>
  <c r="C111"/>
  <c r="C109"/>
  <c r="C107"/>
  <c r="C105"/>
  <c r="D105" s="1"/>
  <c r="C103"/>
  <c r="D103" s="1"/>
  <c r="C101"/>
  <c r="C99"/>
  <c r="C97"/>
  <c r="C95"/>
  <c r="C93"/>
  <c r="C91"/>
  <c r="C89"/>
  <c r="D89" s="1"/>
  <c r="C87"/>
  <c r="D87" s="1"/>
  <c r="C85"/>
  <c r="C83"/>
  <c r="C81"/>
  <c r="C79"/>
  <c r="C77"/>
  <c r="C75"/>
  <c r="C73"/>
  <c r="D73" s="1"/>
  <c r="C71"/>
  <c r="D71" s="1"/>
  <c r="C69"/>
  <c r="C67"/>
  <c r="C65"/>
  <c r="C63"/>
  <c r="C61"/>
  <c r="C59"/>
  <c r="D59" s="1"/>
  <c r="C57"/>
  <c r="C55"/>
  <c r="C53"/>
  <c r="D53" s="1"/>
  <c r="C51"/>
  <c r="C49"/>
  <c r="D49" s="1"/>
  <c r="C47"/>
  <c r="D47" s="1"/>
  <c r="C45"/>
  <c r="C43"/>
  <c r="D43" s="1"/>
  <c r="C41"/>
  <c r="C39"/>
  <c r="C37"/>
  <c r="D37" s="1"/>
  <c r="C35"/>
  <c r="C33"/>
  <c r="C31"/>
  <c r="C29"/>
  <c r="C27"/>
  <c r="C25"/>
  <c r="C23"/>
  <c r="D23" s="1"/>
  <c r="G120"/>
  <c r="G118"/>
  <c r="G116"/>
  <c r="G114"/>
  <c r="H114" s="1"/>
  <c r="G112"/>
  <c r="G110"/>
  <c r="G108"/>
  <c r="G106"/>
  <c r="H106" s="1"/>
  <c r="G104"/>
  <c r="G102"/>
  <c r="G100"/>
  <c r="G98"/>
  <c r="H98" s="1"/>
  <c r="G96"/>
  <c r="G94"/>
  <c r="G92"/>
  <c r="G90"/>
  <c r="H90" s="1"/>
  <c r="G88"/>
  <c r="G86"/>
  <c r="G84"/>
  <c r="G82"/>
  <c r="H82" s="1"/>
  <c r="G80"/>
  <c r="G78"/>
  <c r="G76"/>
  <c r="G74"/>
  <c r="H74" s="1"/>
  <c r="G72"/>
  <c r="G70"/>
  <c r="G68"/>
  <c r="G66"/>
  <c r="H66" s="1"/>
  <c r="G64"/>
  <c r="G62"/>
  <c r="G60"/>
  <c r="G58"/>
  <c r="H58" s="1"/>
  <c r="G56"/>
  <c r="G54"/>
  <c r="G52"/>
  <c r="G50"/>
  <c r="H50" s="1"/>
  <c r="G48"/>
  <c r="G46"/>
  <c r="G44"/>
  <c r="G42"/>
  <c r="H42" s="1"/>
  <c r="G40"/>
  <c r="G38"/>
  <c r="G36"/>
  <c r="G34"/>
  <c r="H34" s="1"/>
  <c r="G32"/>
  <c r="G30"/>
  <c r="G28"/>
  <c r="G26"/>
  <c r="H26" s="1"/>
  <c r="G24"/>
  <c r="G7" i="2" l="1"/>
  <c r="G9"/>
  <c r="H24" i="1"/>
  <c r="H32"/>
  <c r="H40"/>
  <c r="H48"/>
  <c r="H56"/>
  <c r="H64"/>
  <c r="H72"/>
  <c r="H80"/>
  <c r="H88"/>
  <c r="H96"/>
  <c r="H104"/>
  <c r="H112"/>
  <c r="H120"/>
  <c r="D29"/>
  <c r="D77"/>
  <c r="D93"/>
  <c r="D109"/>
  <c r="H141"/>
  <c r="H149"/>
  <c r="D168"/>
  <c r="D31"/>
  <c r="D63"/>
  <c r="D79"/>
  <c r="D95"/>
  <c r="D111"/>
  <c r="D70"/>
  <c r="E71" s="1"/>
  <c r="D86"/>
  <c r="E87" s="1"/>
  <c r="D102"/>
  <c r="E103" s="1"/>
  <c r="D118"/>
  <c r="E119" s="1"/>
  <c r="D68"/>
  <c r="D84"/>
  <c r="D100"/>
  <c r="D116"/>
  <c r="H172"/>
  <c r="D151"/>
  <c r="E169"/>
  <c r="H159"/>
  <c r="I167"/>
  <c r="H175"/>
  <c r="D130"/>
  <c r="E130" s="1"/>
  <c r="D138"/>
  <c r="E146"/>
  <c r="D154"/>
  <c r="D162"/>
  <c r="H126"/>
  <c r="I126" s="1"/>
  <c r="H134"/>
  <c r="I134" s="1"/>
  <c r="H166"/>
  <c r="D145"/>
  <c r="D159"/>
  <c r="D25"/>
  <c r="D33"/>
  <c r="D41"/>
  <c r="D57"/>
  <c r="D65"/>
  <c r="D81"/>
  <c r="D97"/>
  <c r="D113"/>
  <c r="D38"/>
  <c r="E38" s="1"/>
  <c r="D54"/>
  <c r="E54" s="1"/>
  <c r="D72"/>
  <c r="E72" s="1"/>
  <c r="D88"/>
  <c r="E88" s="1"/>
  <c r="D104"/>
  <c r="E104" s="1"/>
  <c r="D120"/>
  <c r="E120" s="1"/>
  <c r="D139"/>
  <c r="E139" s="1"/>
  <c r="D171"/>
  <c r="D132"/>
  <c r="D148"/>
  <c r="D156"/>
  <c r="E157" s="1"/>
  <c r="D163"/>
  <c r="E163" s="1"/>
  <c r="D67"/>
  <c r="E68" s="1"/>
  <c r="D83"/>
  <c r="E84" s="1"/>
  <c r="D161"/>
  <c r="E162" s="1"/>
  <c r="D126"/>
  <c r="E127" s="1"/>
  <c r="D99"/>
  <c r="E100" s="1"/>
  <c r="D115"/>
  <c r="E116" s="1"/>
  <c r="D142"/>
  <c r="E143" s="1"/>
  <c r="D174"/>
  <c r="D90"/>
  <c r="E90" s="1"/>
  <c r="D106"/>
  <c r="E106" s="1"/>
  <c r="D149"/>
  <c r="D40"/>
  <c r="E41" s="1"/>
  <c r="D24"/>
  <c r="E24" s="1"/>
  <c r="D50"/>
  <c r="E50" s="1"/>
  <c r="D27"/>
  <c r="D35"/>
  <c r="D51"/>
  <c r="D75"/>
  <c r="D91"/>
  <c r="D107"/>
  <c r="D30"/>
  <c r="E30" s="1"/>
  <c r="D48"/>
  <c r="E48" s="1"/>
  <c r="D62"/>
  <c r="E63" s="1"/>
  <c r="D78"/>
  <c r="E78" s="1"/>
  <c r="D94"/>
  <c r="E94" s="1"/>
  <c r="D110"/>
  <c r="E110" s="1"/>
  <c r="D28"/>
  <c r="E29" s="1"/>
  <c r="D42"/>
  <c r="E42" s="1"/>
  <c r="D58"/>
  <c r="D76"/>
  <c r="E77" s="1"/>
  <c r="D92"/>
  <c r="D108"/>
  <c r="D134"/>
  <c r="E135" s="1"/>
  <c r="D150"/>
  <c r="D158"/>
  <c r="E158" s="1"/>
  <c r="D166"/>
  <c r="D137"/>
  <c r="E138" s="1"/>
  <c r="D153"/>
  <c r="E154" s="1"/>
  <c r="D167"/>
  <c r="D175"/>
  <c r="D74"/>
  <c r="E74" s="1"/>
  <c r="D122"/>
  <c r="E122" s="1"/>
  <c r="D26"/>
  <c r="D123"/>
  <c r="D124"/>
  <c r="D140"/>
  <c r="D172"/>
  <c r="D39"/>
  <c r="D55"/>
  <c r="D56"/>
  <c r="D34"/>
  <c r="D133"/>
  <c r="D170"/>
  <c r="E170" s="1"/>
  <c r="D131"/>
  <c r="E131" s="1"/>
  <c r="D45"/>
  <c r="E45" s="1"/>
  <c r="D61"/>
  <c r="E61" s="1"/>
  <c r="D69"/>
  <c r="E69" s="1"/>
  <c r="D85"/>
  <c r="E85" s="1"/>
  <c r="D101"/>
  <c r="D117"/>
  <c r="E117" s="1"/>
  <c r="D36"/>
  <c r="D52"/>
  <c r="E53" s="1"/>
  <c r="D66"/>
  <c r="D82"/>
  <c r="D98"/>
  <c r="D114"/>
  <c r="E114" s="1"/>
  <c r="D32"/>
  <c r="E32" s="1"/>
  <c r="D46"/>
  <c r="D64"/>
  <c r="E64" s="1"/>
  <c r="D80"/>
  <c r="D96"/>
  <c r="E96" s="1"/>
  <c r="D112"/>
  <c r="D147"/>
  <c r="E147" s="1"/>
  <c r="D165"/>
  <c r="E165" s="1"/>
  <c r="D128"/>
  <c r="E128" s="1"/>
  <c r="D136"/>
  <c r="E136" s="1"/>
  <c r="D144"/>
  <c r="E144" s="1"/>
  <c r="D152"/>
  <c r="E152" s="1"/>
  <c r="D160"/>
  <c r="E160" s="1"/>
  <c r="D125"/>
  <c r="D141"/>
  <c r="D155"/>
  <c r="E155" s="1"/>
  <c r="D173"/>
  <c r="H28"/>
  <c r="H36"/>
  <c r="H44"/>
  <c r="H52"/>
  <c r="H60"/>
  <c r="H68"/>
  <c r="H76"/>
  <c r="H84"/>
  <c r="H92"/>
  <c r="H100"/>
  <c r="H108"/>
  <c r="H116"/>
  <c r="H160"/>
  <c r="I160" s="1"/>
  <c r="H145"/>
  <c r="H153"/>
  <c r="H169"/>
  <c r="H128"/>
  <c r="I128" s="1"/>
  <c r="H136"/>
  <c r="I136" s="1"/>
  <c r="H156"/>
  <c r="H163"/>
  <c r="I164" s="1"/>
  <c r="H29"/>
  <c r="H37"/>
  <c r="H53"/>
  <c r="H69"/>
  <c r="H85"/>
  <c r="H101"/>
  <c r="H117"/>
  <c r="H146"/>
  <c r="H170"/>
  <c r="H35"/>
  <c r="I35" s="1"/>
  <c r="H51"/>
  <c r="I51" s="1"/>
  <c r="H67"/>
  <c r="I67" s="1"/>
  <c r="H83"/>
  <c r="I83" s="1"/>
  <c r="H99"/>
  <c r="I99" s="1"/>
  <c r="H115"/>
  <c r="I115" s="1"/>
  <c r="H144"/>
  <c r="I144" s="1"/>
  <c r="H152"/>
  <c r="I152" s="1"/>
  <c r="H25"/>
  <c r="I25" s="1"/>
  <c r="H33"/>
  <c r="I33" s="1"/>
  <c r="H41"/>
  <c r="I41" s="1"/>
  <c r="H49"/>
  <c r="H57"/>
  <c r="I57" s="1"/>
  <c r="H65"/>
  <c r="I65" s="1"/>
  <c r="H73"/>
  <c r="I73" s="1"/>
  <c r="H81"/>
  <c r="H89"/>
  <c r="I89" s="1"/>
  <c r="H97"/>
  <c r="I97" s="1"/>
  <c r="H105"/>
  <c r="I105" s="1"/>
  <c r="H113"/>
  <c r="H121"/>
  <c r="I121" s="1"/>
  <c r="H138"/>
  <c r="I138" s="1"/>
  <c r="H168"/>
  <c r="I168" s="1"/>
  <c r="H157"/>
  <c r="H165"/>
  <c r="I165" s="1"/>
  <c r="H173"/>
  <c r="I173" s="1"/>
  <c r="H124"/>
  <c r="H132"/>
  <c r="I132" s="1"/>
  <c r="H142"/>
  <c r="I142" s="1"/>
  <c r="H150"/>
  <c r="I150" s="1"/>
  <c r="H162"/>
  <c r="H45"/>
  <c r="H61"/>
  <c r="H77"/>
  <c r="H93"/>
  <c r="H109"/>
  <c r="H161"/>
  <c r="H27"/>
  <c r="I27" s="1"/>
  <c r="H43"/>
  <c r="I43" s="1"/>
  <c r="H59"/>
  <c r="I59" s="1"/>
  <c r="H75"/>
  <c r="I75" s="1"/>
  <c r="H91"/>
  <c r="I91" s="1"/>
  <c r="H107"/>
  <c r="I107" s="1"/>
  <c r="H154"/>
  <c r="H30"/>
  <c r="H38"/>
  <c r="H46"/>
  <c r="H54"/>
  <c r="H62"/>
  <c r="H70"/>
  <c r="H78"/>
  <c r="H86"/>
  <c r="H94"/>
  <c r="H102"/>
  <c r="H110"/>
  <c r="H118"/>
  <c r="H23"/>
  <c r="I24" s="1"/>
  <c r="H31"/>
  <c r="H39"/>
  <c r="H47"/>
  <c r="H55"/>
  <c r="H63"/>
  <c r="H71"/>
  <c r="I72" s="1"/>
  <c r="H79"/>
  <c r="H87"/>
  <c r="H95"/>
  <c r="H103"/>
  <c r="I104" s="1"/>
  <c r="H111"/>
  <c r="H119"/>
  <c r="H122"/>
  <c r="H123"/>
  <c r="H139"/>
  <c r="H147"/>
  <c r="H155"/>
  <c r="H171"/>
  <c r="I171" s="1"/>
  <c r="H130"/>
  <c r="I130" s="1"/>
  <c r="H140"/>
  <c r="H148"/>
  <c r="I149" s="1"/>
  <c r="H158"/>
  <c r="I158" s="1"/>
  <c r="H174"/>
  <c r="A177"/>
  <c r="G176"/>
  <c r="H176" s="1"/>
  <c r="I176" s="1"/>
  <c r="C176"/>
  <c r="D176" s="1"/>
  <c r="I112" l="1"/>
  <c r="I80"/>
  <c r="I113"/>
  <c r="I81"/>
  <c r="I49"/>
  <c r="E112"/>
  <c r="I84"/>
  <c r="E101"/>
  <c r="E93"/>
  <c r="I135"/>
  <c r="E80"/>
  <c r="I127"/>
  <c r="E149"/>
  <c r="E164"/>
  <c r="E121"/>
  <c r="E55"/>
  <c r="E82"/>
  <c r="E142"/>
  <c r="E66"/>
  <c r="E133"/>
  <c r="E39"/>
  <c r="E49"/>
  <c r="E51"/>
  <c r="E34"/>
  <c r="E172"/>
  <c r="E26"/>
  <c r="E140"/>
  <c r="E58"/>
  <c r="I85"/>
  <c r="I137"/>
  <c r="E98"/>
  <c r="E36"/>
  <c r="E57"/>
  <c r="E167"/>
  <c r="E91"/>
  <c r="E111"/>
  <c r="E174"/>
  <c r="E89"/>
  <c r="I146"/>
  <c r="E105"/>
  <c r="E73"/>
  <c r="E173"/>
  <c r="E168"/>
  <c r="E46"/>
  <c r="E171"/>
  <c r="E125"/>
  <c r="E33"/>
  <c r="I117"/>
  <c r="I53"/>
  <c r="I129"/>
  <c r="I68"/>
  <c r="E150"/>
  <c r="E95"/>
  <c r="E145"/>
  <c r="E108"/>
  <c r="E81"/>
  <c r="E159"/>
  <c r="E115"/>
  <c r="E25"/>
  <c r="E97"/>
  <c r="E175"/>
  <c r="E76"/>
  <c r="E102"/>
  <c r="E86"/>
  <c r="E176"/>
  <c r="E156"/>
  <c r="E137"/>
  <c r="E161"/>
  <c r="E59"/>
  <c r="E52"/>
  <c r="E37"/>
  <c r="E79"/>
  <c r="E123"/>
  <c r="E113"/>
  <c r="E153"/>
  <c r="E126"/>
  <c r="E99"/>
  <c r="E67"/>
  <c r="E35"/>
  <c r="E40"/>
  <c r="E31"/>
  <c r="E132"/>
  <c r="E83"/>
  <c r="E129"/>
  <c r="E118"/>
  <c r="E27"/>
  <c r="E141"/>
  <c r="E109"/>
  <c r="E56"/>
  <c r="E124"/>
  <c r="E65"/>
  <c r="E166"/>
  <c r="E134"/>
  <c r="E92"/>
  <c r="E28"/>
  <c r="E62"/>
  <c r="E107"/>
  <c r="E75"/>
  <c r="E43"/>
  <c r="E151"/>
  <c r="E70"/>
  <c r="E47"/>
  <c r="E148"/>
  <c r="I109"/>
  <c r="I45"/>
  <c r="I78"/>
  <c r="I122"/>
  <c r="I154"/>
  <c r="I161"/>
  <c r="I143"/>
  <c r="I58"/>
  <c r="I156"/>
  <c r="I61"/>
  <c r="I100"/>
  <c r="I174"/>
  <c r="I118"/>
  <c r="I54"/>
  <c r="I93"/>
  <c r="I157"/>
  <c r="I116"/>
  <c r="I26"/>
  <c r="I106"/>
  <c r="I108"/>
  <c r="I44"/>
  <c r="I95"/>
  <c r="I63"/>
  <c r="I31"/>
  <c r="I70"/>
  <c r="I90"/>
  <c r="I145"/>
  <c r="I52"/>
  <c r="I29"/>
  <c r="I42"/>
  <c r="I102"/>
  <c r="I38"/>
  <c r="I77"/>
  <c r="I162"/>
  <c r="I114"/>
  <c r="I153"/>
  <c r="I69"/>
  <c r="I133"/>
  <c r="I166"/>
  <c r="I170"/>
  <c r="I101"/>
  <c r="I37"/>
  <c r="I140"/>
  <c r="I147"/>
  <c r="I119"/>
  <c r="I87"/>
  <c r="I55"/>
  <c r="I94"/>
  <c r="I141"/>
  <c r="I172"/>
  <c r="I50"/>
  <c r="I34"/>
  <c r="I123"/>
  <c r="I71"/>
  <c r="I110"/>
  <c r="I46"/>
  <c r="I124"/>
  <c r="I151"/>
  <c r="I139"/>
  <c r="I62"/>
  <c r="I30"/>
  <c r="I175"/>
  <c r="I74"/>
  <c r="I96"/>
  <c r="I64"/>
  <c r="I82"/>
  <c r="I92"/>
  <c r="I36"/>
  <c r="I98"/>
  <c r="I155"/>
  <c r="I103"/>
  <c r="I39"/>
  <c r="I40"/>
  <c r="I32"/>
  <c r="I169"/>
  <c r="I60"/>
  <c r="I148"/>
  <c r="I163"/>
  <c r="I131"/>
  <c r="I111"/>
  <c r="I79"/>
  <c r="I47"/>
  <c r="I86"/>
  <c r="I56"/>
  <c r="I159"/>
  <c r="I28"/>
  <c r="I125"/>
  <c r="I120"/>
  <c r="I88"/>
  <c r="I48"/>
  <c r="I66"/>
  <c r="I76"/>
  <c r="A178"/>
  <c r="G177"/>
  <c r="H177" s="1"/>
  <c r="I177" s="1"/>
  <c r="C177"/>
  <c r="D177" s="1"/>
  <c r="E177" s="1"/>
  <c r="A179" l="1"/>
  <c r="C178"/>
  <c r="D178" s="1"/>
  <c r="E178" s="1"/>
  <c r="G178"/>
  <c r="H178" s="1"/>
  <c r="I178" s="1"/>
  <c r="A180" l="1"/>
  <c r="C179"/>
  <c r="D179" s="1"/>
  <c r="E179" s="1"/>
  <c r="G179"/>
  <c r="H179" s="1"/>
  <c r="I179" s="1"/>
  <c r="A181" l="1"/>
  <c r="C180"/>
  <c r="D180" s="1"/>
  <c r="E180" s="1"/>
  <c r="G180"/>
  <c r="H180" s="1"/>
  <c r="I180" s="1"/>
  <c r="A182" l="1"/>
  <c r="G181"/>
  <c r="H181" s="1"/>
  <c r="I181" s="1"/>
  <c r="C181"/>
  <c r="D181" s="1"/>
  <c r="E181" s="1"/>
  <c r="A183" l="1"/>
  <c r="G182"/>
  <c r="H182" s="1"/>
  <c r="I182" s="1"/>
  <c r="C182"/>
  <c r="D182" s="1"/>
  <c r="E182" s="1"/>
  <c r="A184" l="1"/>
  <c r="C183"/>
  <c r="D183" s="1"/>
  <c r="E183" s="1"/>
  <c r="G183"/>
  <c r="H183" s="1"/>
  <c r="I183" s="1"/>
  <c r="A185" l="1"/>
  <c r="C184"/>
  <c r="D184" s="1"/>
  <c r="E184" s="1"/>
  <c r="G184"/>
  <c r="H184" s="1"/>
  <c r="I184" s="1"/>
  <c r="A186" l="1"/>
  <c r="G185"/>
  <c r="H185" s="1"/>
  <c r="I185" s="1"/>
  <c r="C185"/>
  <c r="D185" s="1"/>
  <c r="E185" s="1"/>
  <c r="A187" l="1"/>
  <c r="G186"/>
  <c r="H186" s="1"/>
  <c r="I186" s="1"/>
  <c r="C186"/>
  <c r="D186" s="1"/>
  <c r="E186" s="1"/>
  <c r="A188" l="1"/>
  <c r="C187"/>
  <c r="D187" s="1"/>
  <c r="E187" s="1"/>
  <c r="G187"/>
  <c r="H187" s="1"/>
  <c r="I187" s="1"/>
  <c r="A189" l="1"/>
  <c r="C188"/>
  <c r="D188" s="1"/>
  <c r="E188" s="1"/>
  <c r="G188"/>
  <c r="H188" s="1"/>
  <c r="I188" s="1"/>
  <c r="A190" l="1"/>
  <c r="G189"/>
  <c r="H189" s="1"/>
  <c r="I189" s="1"/>
  <c r="C189"/>
  <c r="D189" s="1"/>
  <c r="E189" s="1"/>
  <c r="G190" l="1"/>
  <c r="H190" s="1"/>
  <c r="I190" s="1"/>
  <c r="C190"/>
  <c r="D190" s="1"/>
  <c r="E190" s="1"/>
  <c r="A191"/>
  <c r="A192" l="1"/>
  <c r="C191"/>
  <c r="D191" s="1"/>
  <c r="E191" s="1"/>
  <c r="G191"/>
  <c r="H191" s="1"/>
  <c r="I191" s="1"/>
  <c r="A193" l="1"/>
  <c r="C192"/>
  <c r="D192" s="1"/>
  <c r="E192" s="1"/>
  <c r="G192"/>
  <c r="H192" s="1"/>
  <c r="I192" s="1"/>
  <c r="A194" l="1"/>
  <c r="G193"/>
  <c r="H193" s="1"/>
  <c r="I193" s="1"/>
  <c r="C193"/>
  <c r="D193" s="1"/>
  <c r="E193" s="1"/>
  <c r="A195" l="1"/>
  <c r="G194"/>
  <c r="H194" s="1"/>
  <c r="I194" s="1"/>
  <c r="C194"/>
  <c r="D194" s="1"/>
  <c r="E194" s="1"/>
  <c r="A196" l="1"/>
  <c r="C195"/>
  <c r="D195" s="1"/>
  <c r="E195" s="1"/>
  <c r="G195"/>
  <c r="H195" s="1"/>
  <c r="I195" s="1"/>
  <c r="A197" l="1"/>
  <c r="C196"/>
  <c r="D196" s="1"/>
  <c r="E196" s="1"/>
  <c r="G196"/>
  <c r="H196" s="1"/>
  <c r="I196" s="1"/>
  <c r="A198" l="1"/>
  <c r="G197"/>
  <c r="H197" s="1"/>
  <c r="I197" s="1"/>
  <c r="C197"/>
  <c r="D197" s="1"/>
  <c r="E197" s="1"/>
  <c r="A199" l="1"/>
  <c r="G198"/>
  <c r="H198" s="1"/>
  <c r="I198" s="1"/>
  <c r="C198"/>
  <c r="D198" s="1"/>
  <c r="E198" s="1"/>
  <c r="A200" l="1"/>
  <c r="C199"/>
  <c r="D199" s="1"/>
  <c r="E199" s="1"/>
  <c r="G199"/>
  <c r="H199" s="1"/>
  <c r="I199" s="1"/>
  <c r="A201" l="1"/>
  <c r="C200"/>
  <c r="D200" s="1"/>
  <c r="E200" s="1"/>
  <c r="G200"/>
  <c r="H200" s="1"/>
  <c r="I200" s="1"/>
  <c r="A202" l="1"/>
  <c r="G201"/>
  <c r="H201" s="1"/>
  <c r="I201" s="1"/>
  <c r="C201"/>
  <c r="D201" s="1"/>
  <c r="E201" s="1"/>
  <c r="A203" l="1"/>
  <c r="G202"/>
  <c r="H202" s="1"/>
  <c r="I202" s="1"/>
  <c r="C202"/>
  <c r="D202" s="1"/>
  <c r="E202" s="1"/>
  <c r="A204" l="1"/>
  <c r="G203"/>
  <c r="H203" s="1"/>
  <c r="I203" s="1"/>
  <c r="C203"/>
  <c r="D203" s="1"/>
  <c r="E203" s="1"/>
  <c r="A205" l="1"/>
  <c r="A206" s="1"/>
  <c r="C204"/>
  <c r="D204" s="1"/>
  <c r="E204" s="1"/>
  <c r="G204"/>
  <c r="H204" s="1"/>
  <c r="I204" s="1"/>
  <c r="A207" l="1"/>
  <c r="C206"/>
  <c r="G206"/>
  <c r="C205"/>
  <c r="D205" s="1"/>
  <c r="E205" s="1"/>
  <c r="G205"/>
  <c r="H205" s="1"/>
  <c r="I205" s="1"/>
  <c r="D206" l="1"/>
  <c r="E206" s="1"/>
  <c r="H206"/>
  <c r="I206" s="1"/>
  <c r="A208"/>
  <c r="C207"/>
  <c r="D207" s="1"/>
  <c r="E207" s="1"/>
  <c r="G207"/>
  <c r="H207" s="1"/>
  <c r="I207" l="1"/>
  <c r="A209"/>
  <c r="C208"/>
  <c r="D208" s="1"/>
  <c r="E208" s="1"/>
  <c r="G208"/>
  <c r="H208" s="1"/>
  <c r="I208" s="1"/>
  <c r="A210" l="1"/>
  <c r="C209"/>
  <c r="D209" s="1"/>
  <c r="E209" s="1"/>
  <c r="G209"/>
  <c r="H209" s="1"/>
  <c r="I209" s="1"/>
  <c r="A211" l="1"/>
  <c r="C210"/>
  <c r="D210" s="1"/>
  <c r="E210" s="1"/>
  <c r="G210"/>
  <c r="H210" s="1"/>
  <c r="I210" s="1"/>
  <c r="A212" l="1"/>
  <c r="C211"/>
  <c r="D211" s="1"/>
  <c r="E211" s="1"/>
  <c r="G211"/>
  <c r="H211" s="1"/>
  <c r="I211" s="1"/>
  <c r="A213" l="1"/>
  <c r="C212"/>
  <c r="D212" s="1"/>
  <c r="E212" s="1"/>
  <c r="G212"/>
  <c r="H212" s="1"/>
  <c r="I212" s="1"/>
  <c r="A214" l="1"/>
  <c r="C213"/>
  <c r="D213" s="1"/>
  <c r="E213" s="1"/>
  <c r="G213"/>
  <c r="H213" s="1"/>
  <c r="I213" s="1"/>
  <c r="A215" l="1"/>
  <c r="C214"/>
  <c r="D214" s="1"/>
  <c r="E214" s="1"/>
  <c r="G214"/>
  <c r="H214" s="1"/>
  <c r="I214" s="1"/>
  <c r="A216" l="1"/>
  <c r="C215"/>
  <c r="D215" s="1"/>
  <c r="E215" s="1"/>
  <c r="G215"/>
  <c r="H215" s="1"/>
  <c r="I215" s="1"/>
  <c r="A217" l="1"/>
  <c r="C216"/>
  <c r="D216" s="1"/>
  <c r="E216" s="1"/>
  <c r="G216"/>
  <c r="H216" s="1"/>
  <c r="I216" s="1"/>
  <c r="A218" l="1"/>
  <c r="C217"/>
  <c r="D217" s="1"/>
  <c r="E217" s="1"/>
  <c r="G217"/>
  <c r="H217" s="1"/>
  <c r="I217" s="1"/>
  <c r="A219" l="1"/>
  <c r="C218"/>
  <c r="D218" s="1"/>
  <c r="E218" s="1"/>
  <c r="G218"/>
  <c r="H218" s="1"/>
  <c r="I218" s="1"/>
  <c r="A220" l="1"/>
  <c r="C219"/>
  <c r="D219" s="1"/>
  <c r="E219" s="1"/>
  <c r="G219"/>
  <c r="H219" s="1"/>
  <c r="I219" s="1"/>
  <c r="A221" l="1"/>
  <c r="C220"/>
  <c r="D220" s="1"/>
  <c r="E220" s="1"/>
  <c r="G220"/>
  <c r="H220" s="1"/>
  <c r="I220" s="1"/>
  <c r="A222" l="1"/>
  <c r="C221"/>
  <c r="D221" s="1"/>
  <c r="E221" s="1"/>
  <c r="G221"/>
  <c r="H221" s="1"/>
  <c r="I221" s="1"/>
  <c r="A223" l="1"/>
  <c r="C222"/>
  <c r="D222" s="1"/>
  <c r="E222" s="1"/>
  <c r="G222"/>
  <c r="H222" s="1"/>
  <c r="I222" s="1"/>
  <c r="A224" l="1"/>
  <c r="C223"/>
  <c r="D223" s="1"/>
  <c r="E223" s="1"/>
  <c r="G223"/>
  <c r="H223" s="1"/>
  <c r="I223" s="1"/>
  <c r="A225" l="1"/>
  <c r="C224"/>
  <c r="D224" s="1"/>
  <c r="E224" s="1"/>
  <c r="G224"/>
  <c r="H224" s="1"/>
  <c r="I224" s="1"/>
  <c r="A226" l="1"/>
  <c r="C225"/>
  <c r="D225" s="1"/>
  <c r="E225" s="1"/>
  <c r="G225"/>
  <c r="H225" s="1"/>
  <c r="I225" s="1"/>
  <c r="A227" l="1"/>
  <c r="C226"/>
  <c r="D226" s="1"/>
  <c r="E226" s="1"/>
  <c r="G226"/>
  <c r="H226" s="1"/>
  <c r="I226" s="1"/>
  <c r="A228" l="1"/>
  <c r="C227"/>
  <c r="D227" s="1"/>
  <c r="E227" s="1"/>
  <c r="G227"/>
  <c r="H227" s="1"/>
  <c r="I227" s="1"/>
  <c r="A229" l="1"/>
  <c r="C228"/>
  <c r="D228" s="1"/>
  <c r="E228" s="1"/>
  <c r="G228"/>
  <c r="H228" s="1"/>
  <c r="I228" s="1"/>
  <c r="A230" l="1"/>
  <c r="C229"/>
  <c r="D229" s="1"/>
  <c r="E229" s="1"/>
  <c r="G229"/>
  <c r="H229" s="1"/>
  <c r="I229" s="1"/>
  <c r="A231" l="1"/>
  <c r="C230"/>
  <c r="D230" s="1"/>
  <c r="E230" s="1"/>
  <c r="G230"/>
  <c r="H230" s="1"/>
  <c r="I230" s="1"/>
  <c r="A232" l="1"/>
  <c r="C231"/>
  <c r="D231" s="1"/>
  <c r="E231" s="1"/>
  <c r="G231"/>
  <c r="H231" s="1"/>
  <c r="I231" s="1"/>
  <c r="A233" l="1"/>
  <c r="C232"/>
  <c r="D232" s="1"/>
  <c r="E232" s="1"/>
  <c r="G232"/>
  <c r="H232" s="1"/>
  <c r="I232" s="1"/>
  <c r="A234" l="1"/>
  <c r="C233"/>
  <c r="D233" s="1"/>
  <c r="E233" s="1"/>
  <c r="G233"/>
  <c r="H233" s="1"/>
  <c r="I233" s="1"/>
  <c r="A235" l="1"/>
  <c r="C234"/>
  <c r="D234" s="1"/>
  <c r="E234" s="1"/>
  <c r="G234"/>
  <c r="H234" s="1"/>
  <c r="I234" s="1"/>
  <c r="A236" l="1"/>
  <c r="C235"/>
  <c r="D235" s="1"/>
  <c r="E235" s="1"/>
  <c r="G235"/>
  <c r="H235" s="1"/>
  <c r="I235" s="1"/>
  <c r="A237" l="1"/>
  <c r="C236"/>
  <c r="D236" s="1"/>
  <c r="E236" s="1"/>
  <c r="G236"/>
  <c r="H236" s="1"/>
  <c r="I236" s="1"/>
  <c r="A238" l="1"/>
  <c r="C237"/>
  <c r="D237" s="1"/>
  <c r="E237" s="1"/>
  <c r="G237"/>
  <c r="H237" s="1"/>
  <c r="I237" s="1"/>
  <c r="A239" l="1"/>
  <c r="C238"/>
  <c r="D238" s="1"/>
  <c r="E238" s="1"/>
  <c r="G238"/>
  <c r="H238" s="1"/>
  <c r="I238" s="1"/>
  <c r="A240" l="1"/>
  <c r="C239"/>
  <c r="D239" s="1"/>
  <c r="E239" s="1"/>
  <c r="G239"/>
  <c r="H239" s="1"/>
  <c r="I239" s="1"/>
  <c r="A241" l="1"/>
  <c r="C240"/>
  <c r="D240" s="1"/>
  <c r="E240" s="1"/>
  <c r="G240"/>
  <c r="H240" s="1"/>
  <c r="I240" s="1"/>
  <c r="A242" l="1"/>
  <c r="C241"/>
  <c r="D241" s="1"/>
  <c r="E241" s="1"/>
  <c r="G241"/>
  <c r="H241" s="1"/>
  <c r="I241" s="1"/>
  <c r="A243" l="1"/>
  <c r="C242"/>
  <c r="D242" s="1"/>
  <c r="E242" s="1"/>
  <c r="G242"/>
  <c r="H242" s="1"/>
  <c r="I242" s="1"/>
  <c r="A244" l="1"/>
  <c r="C243"/>
  <c r="D243" s="1"/>
  <c r="E243" s="1"/>
  <c r="G243"/>
  <c r="H243" s="1"/>
  <c r="I243" s="1"/>
  <c r="A245" l="1"/>
  <c r="C244"/>
  <c r="D244" s="1"/>
  <c r="E244" s="1"/>
  <c r="G244"/>
  <c r="H244" s="1"/>
  <c r="I244" s="1"/>
  <c r="A246" l="1"/>
  <c r="C245"/>
  <c r="D245" s="1"/>
  <c r="E245" s="1"/>
  <c r="G245"/>
  <c r="H245" s="1"/>
  <c r="I245" s="1"/>
  <c r="A247" l="1"/>
  <c r="C246"/>
  <c r="D246" s="1"/>
  <c r="E246" s="1"/>
  <c r="G246"/>
  <c r="H246" s="1"/>
  <c r="I246" s="1"/>
  <c r="A248" l="1"/>
  <c r="C247"/>
  <c r="D247" s="1"/>
  <c r="E247" s="1"/>
  <c r="G247"/>
  <c r="H247" s="1"/>
  <c r="I247" s="1"/>
  <c r="A249" l="1"/>
  <c r="C248"/>
  <c r="D248" s="1"/>
  <c r="E248" s="1"/>
  <c r="G248"/>
  <c r="H248" s="1"/>
  <c r="I248" s="1"/>
  <c r="A250" l="1"/>
  <c r="C249"/>
  <c r="D249" s="1"/>
  <c r="E249" s="1"/>
  <c r="G249"/>
  <c r="H249" s="1"/>
  <c r="I249" s="1"/>
  <c r="A251" l="1"/>
  <c r="C250"/>
  <c r="D250" s="1"/>
  <c r="E250" s="1"/>
  <c r="G250"/>
  <c r="H250" s="1"/>
  <c r="I250" s="1"/>
  <c r="A252" l="1"/>
  <c r="C251"/>
  <c r="D251" s="1"/>
  <c r="E251" s="1"/>
  <c r="G251"/>
  <c r="H251" s="1"/>
  <c r="I251" s="1"/>
  <c r="A253" l="1"/>
  <c r="C252"/>
  <c r="D252" s="1"/>
  <c r="E252" s="1"/>
  <c r="G252"/>
  <c r="H252" s="1"/>
  <c r="I252" s="1"/>
  <c r="A254" l="1"/>
  <c r="C253"/>
  <c r="D253" s="1"/>
  <c r="E253" s="1"/>
  <c r="G253"/>
  <c r="H253" s="1"/>
  <c r="I253" s="1"/>
  <c r="A255" l="1"/>
  <c r="C254"/>
  <c r="D254" s="1"/>
  <c r="E254" s="1"/>
  <c r="G254"/>
  <c r="H254" s="1"/>
  <c r="I254" s="1"/>
  <c r="A256" l="1"/>
  <c r="C255"/>
  <c r="D255" s="1"/>
  <c r="E255" s="1"/>
  <c r="G255"/>
  <c r="H255" s="1"/>
  <c r="I255" s="1"/>
  <c r="A257" l="1"/>
  <c r="C256"/>
  <c r="D256" s="1"/>
  <c r="E256" s="1"/>
  <c r="G256"/>
  <c r="H256" s="1"/>
  <c r="I256" s="1"/>
  <c r="A258" l="1"/>
  <c r="C257"/>
  <c r="D257" s="1"/>
  <c r="E257" s="1"/>
  <c r="G257"/>
  <c r="H257" s="1"/>
  <c r="I257" s="1"/>
  <c r="A259" l="1"/>
  <c r="C258"/>
  <c r="D258" s="1"/>
  <c r="E258" s="1"/>
  <c r="G258"/>
  <c r="H258" s="1"/>
  <c r="I258" s="1"/>
  <c r="A260" l="1"/>
  <c r="C259"/>
  <c r="D259" s="1"/>
  <c r="E259" s="1"/>
  <c r="G259"/>
  <c r="H259" s="1"/>
  <c r="I259" s="1"/>
  <c r="A261" l="1"/>
  <c r="C260"/>
  <c r="D260" s="1"/>
  <c r="E260" s="1"/>
  <c r="G260"/>
  <c r="H260" s="1"/>
  <c r="I260" s="1"/>
  <c r="A262" l="1"/>
  <c r="C261"/>
  <c r="D261" s="1"/>
  <c r="E261" s="1"/>
  <c r="G261"/>
  <c r="H261" s="1"/>
  <c r="I261" s="1"/>
  <c r="A263" l="1"/>
  <c r="C262"/>
  <c r="D262" s="1"/>
  <c r="E262" s="1"/>
  <c r="G262"/>
  <c r="H262" s="1"/>
  <c r="I262" s="1"/>
  <c r="A264" l="1"/>
  <c r="C263"/>
  <c r="D263" s="1"/>
  <c r="E263" s="1"/>
  <c r="G263"/>
  <c r="H263" s="1"/>
  <c r="I263" s="1"/>
  <c r="A265" l="1"/>
  <c r="C264"/>
  <c r="D264" s="1"/>
  <c r="E264" s="1"/>
  <c r="G264"/>
  <c r="H264" s="1"/>
  <c r="I264" s="1"/>
  <c r="A266" l="1"/>
  <c r="C265"/>
  <c r="D265" s="1"/>
  <c r="E265" s="1"/>
  <c r="G265"/>
  <c r="H265" s="1"/>
  <c r="I265" s="1"/>
  <c r="A267" l="1"/>
  <c r="C266"/>
  <c r="D266" s="1"/>
  <c r="E266" s="1"/>
  <c r="G266"/>
  <c r="H266" s="1"/>
  <c r="I266" s="1"/>
  <c r="A268" l="1"/>
  <c r="C267"/>
  <c r="D267" s="1"/>
  <c r="E267" s="1"/>
  <c r="G267"/>
  <c r="H267" s="1"/>
  <c r="I267" s="1"/>
  <c r="A269" l="1"/>
  <c r="C268"/>
  <c r="D268" s="1"/>
  <c r="E268" s="1"/>
  <c r="G268"/>
  <c r="H268" s="1"/>
  <c r="I268" s="1"/>
  <c r="A270" l="1"/>
  <c r="C269"/>
  <c r="D269" s="1"/>
  <c r="E269" s="1"/>
  <c r="G269"/>
  <c r="H269" s="1"/>
  <c r="I269" s="1"/>
  <c r="A271" l="1"/>
  <c r="C270"/>
  <c r="D270" s="1"/>
  <c r="E270" s="1"/>
  <c r="G270"/>
  <c r="H270" s="1"/>
  <c r="I270" s="1"/>
  <c r="A272" l="1"/>
  <c r="C271"/>
  <c r="D271" s="1"/>
  <c r="E271" s="1"/>
  <c r="G271"/>
  <c r="H271" s="1"/>
  <c r="I271" s="1"/>
  <c r="A273" l="1"/>
  <c r="C272"/>
  <c r="D272" s="1"/>
  <c r="E272" s="1"/>
  <c r="G272"/>
  <c r="H272" s="1"/>
  <c r="I272" s="1"/>
  <c r="A274" l="1"/>
  <c r="C273"/>
  <c r="D273" s="1"/>
  <c r="E273" s="1"/>
  <c r="G273"/>
  <c r="H273" s="1"/>
  <c r="I273" s="1"/>
  <c r="A275" l="1"/>
  <c r="C274"/>
  <c r="D274" s="1"/>
  <c r="E274" s="1"/>
  <c r="G274"/>
  <c r="H274" s="1"/>
  <c r="I274" s="1"/>
  <c r="A276" l="1"/>
  <c r="C275"/>
  <c r="D275" s="1"/>
  <c r="E275" s="1"/>
  <c r="G275"/>
  <c r="H275" s="1"/>
  <c r="I275" s="1"/>
  <c r="A277" l="1"/>
  <c r="C276"/>
  <c r="D276" s="1"/>
  <c r="E276" s="1"/>
  <c r="G276"/>
  <c r="H276" s="1"/>
  <c r="I276" s="1"/>
  <c r="A278" l="1"/>
  <c r="C277"/>
  <c r="D277" s="1"/>
  <c r="E277" s="1"/>
  <c r="G277"/>
  <c r="H277" s="1"/>
  <c r="I277" s="1"/>
  <c r="A279" l="1"/>
  <c r="C278"/>
  <c r="D278" s="1"/>
  <c r="E278" s="1"/>
  <c r="G278"/>
  <c r="H278" s="1"/>
  <c r="I278" s="1"/>
  <c r="A280" l="1"/>
  <c r="C279"/>
  <c r="D279" s="1"/>
  <c r="E279" s="1"/>
  <c r="G279"/>
  <c r="H279" s="1"/>
  <c r="I279" s="1"/>
  <c r="A281" l="1"/>
  <c r="C280"/>
  <c r="D280" s="1"/>
  <c r="E280" s="1"/>
  <c r="G280"/>
  <c r="H280" s="1"/>
  <c r="I280" s="1"/>
  <c r="A282" l="1"/>
  <c r="C281"/>
  <c r="D281" s="1"/>
  <c r="E281" s="1"/>
  <c r="G281"/>
  <c r="H281" s="1"/>
  <c r="I281" s="1"/>
  <c r="A283" l="1"/>
  <c r="C282"/>
  <c r="D282" s="1"/>
  <c r="E282" s="1"/>
  <c r="G282"/>
  <c r="H282" s="1"/>
  <c r="I282" s="1"/>
  <c r="A284" l="1"/>
  <c r="C283"/>
  <c r="D283" s="1"/>
  <c r="E283" s="1"/>
  <c r="G283"/>
  <c r="H283" s="1"/>
  <c r="I283" s="1"/>
  <c r="A285" l="1"/>
  <c r="C284"/>
  <c r="D284" s="1"/>
  <c r="E284" s="1"/>
  <c r="G284"/>
  <c r="H284" s="1"/>
  <c r="I284" s="1"/>
  <c r="A286" l="1"/>
  <c r="C285"/>
  <c r="D285" s="1"/>
  <c r="E285" s="1"/>
  <c r="G285"/>
  <c r="H285" s="1"/>
  <c r="I285" s="1"/>
  <c r="A287" l="1"/>
  <c r="C286"/>
  <c r="D286" s="1"/>
  <c r="E286" s="1"/>
  <c r="G286"/>
  <c r="H286" s="1"/>
  <c r="I286" s="1"/>
  <c r="A288" l="1"/>
  <c r="C287"/>
  <c r="D287" s="1"/>
  <c r="E287" s="1"/>
  <c r="G287"/>
  <c r="H287" s="1"/>
  <c r="I287" s="1"/>
  <c r="A289" l="1"/>
  <c r="C288"/>
  <c r="D288" s="1"/>
  <c r="E288" s="1"/>
  <c r="G288"/>
  <c r="H288" s="1"/>
  <c r="I288" s="1"/>
  <c r="A290" l="1"/>
  <c r="C289"/>
  <c r="D289" s="1"/>
  <c r="E289" s="1"/>
  <c r="G289"/>
  <c r="H289" s="1"/>
  <c r="I289" s="1"/>
  <c r="A291" l="1"/>
  <c r="C290"/>
  <c r="D290" s="1"/>
  <c r="E290" s="1"/>
  <c r="G290"/>
  <c r="H290" s="1"/>
  <c r="I290" s="1"/>
  <c r="A292" l="1"/>
  <c r="C291"/>
  <c r="D291" s="1"/>
  <c r="E291" s="1"/>
  <c r="G291"/>
  <c r="H291" s="1"/>
  <c r="I291" s="1"/>
  <c r="A293" l="1"/>
  <c r="C292"/>
  <c r="D292" s="1"/>
  <c r="E292" s="1"/>
  <c r="G292"/>
  <c r="H292" s="1"/>
  <c r="I292" s="1"/>
  <c r="A294" l="1"/>
  <c r="C293"/>
  <c r="D293" s="1"/>
  <c r="E293" s="1"/>
  <c r="G293"/>
  <c r="H293" s="1"/>
  <c r="I293" s="1"/>
  <c r="A295" l="1"/>
  <c r="C294"/>
  <c r="D294" s="1"/>
  <c r="E294" s="1"/>
  <c r="G294"/>
  <c r="H294" s="1"/>
  <c r="I294" s="1"/>
  <c r="A296" l="1"/>
  <c r="C295"/>
  <c r="D295" s="1"/>
  <c r="E295" s="1"/>
  <c r="G295"/>
  <c r="H295" s="1"/>
  <c r="I295" s="1"/>
  <c r="A297" l="1"/>
  <c r="C296"/>
  <c r="D296" s="1"/>
  <c r="E296" s="1"/>
  <c r="G296"/>
  <c r="H296" s="1"/>
  <c r="I296" s="1"/>
  <c r="A298" l="1"/>
  <c r="C297"/>
  <c r="D297" s="1"/>
  <c r="E297" s="1"/>
  <c r="G297"/>
  <c r="H297" s="1"/>
  <c r="I297" s="1"/>
  <c r="A299" l="1"/>
  <c r="C298"/>
  <c r="D298" s="1"/>
  <c r="E298" s="1"/>
  <c r="G298"/>
  <c r="H298" s="1"/>
  <c r="I298" s="1"/>
  <c r="A300" l="1"/>
  <c r="C299"/>
  <c r="D299" s="1"/>
  <c r="E299" s="1"/>
  <c r="G299"/>
  <c r="H299" s="1"/>
  <c r="I299" s="1"/>
  <c r="A301" l="1"/>
  <c r="C300"/>
  <c r="D300" s="1"/>
  <c r="E300" s="1"/>
  <c r="G300"/>
  <c r="H300" s="1"/>
  <c r="I300" s="1"/>
  <c r="A302" l="1"/>
  <c r="C301"/>
  <c r="D301" s="1"/>
  <c r="E301" s="1"/>
  <c r="G301"/>
  <c r="H301" s="1"/>
  <c r="I301" s="1"/>
  <c r="A303" l="1"/>
  <c r="C302"/>
  <c r="D302" s="1"/>
  <c r="E302" s="1"/>
  <c r="G302"/>
  <c r="H302" s="1"/>
  <c r="I302" s="1"/>
  <c r="A304" l="1"/>
  <c r="C303"/>
  <c r="D303" s="1"/>
  <c r="E303" s="1"/>
  <c r="G303"/>
  <c r="H303" s="1"/>
  <c r="I303" s="1"/>
  <c r="A305" l="1"/>
  <c r="C304"/>
  <c r="D304" s="1"/>
  <c r="E304" s="1"/>
  <c r="G304"/>
  <c r="H304" s="1"/>
  <c r="I304" s="1"/>
  <c r="A306" l="1"/>
  <c r="C305"/>
  <c r="D305" s="1"/>
  <c r="E305" s="1"/>
  <c r="G305"/>
  <c r="H305" s="1"/>
  <c r="I305" s="1"/>
  <c r="A307" l="1"/>
  <c r="C306"/>
  <c r="D306" s="1"/>
  <c r="E306" s="1"/>
  <c r="G306"/>
  <c r="H306" s="1"/>
  <c r="I306" s="1"/>
  <c r="A308" l="1"/>
  <c r="C307"/>
  <c r="D307" s="1"/>
  <c r="E307" s="1"/>
  <c r="G307"/>
  <c r="H307" s="1"/>
  <c r="I307" s="1"/>
  <c r="A309" l="1"/>
  <c r="C308"/>
  <c r="D308" s="1"/>
  <c r="E308" s="1"/>
  <c r="G308"/>
  <c r="H308" s="1"/>
  <c r="I308" s="1"/>
  <c r="A310" l="1"/>
  <c r="C309"/>
  <c r="D309" s="1"/>
  <c r="E309" s="1"/>
  <c r="G309"/>
  <c r="H309" s="1"/>
  <c r="I309" s="1"/>
  <c r="A311" l="1"/>
  <c r="C310"/>
  <c r="D310" s="1"/>
  <c r="E310" s="1"/>
  <c r="G310"/>
  <c r="H310" s="1"/>
  <c r="I310" s="1"/>
  <c r="A312" l="1"/>
  <c r="C311"/>
  <c r="D311" s="1"/>
  <c r="E311" s="1"/>
  <c r="G311"/>
  <c r="H311" s="1"/>
  <c r="I311" s="1"/>
  <c r="A313" l="1"/>
  <c r="C312"/>
  <c r="D312" s="1"/>
  <c r="E312" s="1"/>
  <c r="G312"/>
  <c r="H312" s="1"/>
  <c r="I312" s="1"/>
  <c r="A314" l="1"/>
  <c r="C313"/>
  <c r="D313" s="1"/>
  <c r="E313" s="1"/>
  <c r="G313"/>
  <c r="H313" s="1"/>
  <c r="I313" s="1"/>
  <c r="A315" l="1"/>
  <c r="C314"/>
  <c r="D314" s="1"/>
  <c r="E314" s="1"/>
  <c r="G314"/>
  <c r="H314" s="1"/>
  <c r="I314" s="1"/>
  <c r="A316" l="1"/>
  <c r="C315"/>
  <c r="D315" s="1"/>
  <c r="E315" s="1"/>
  <c r="G315"/>
  <c r="H315" s="1"/>
  <c r="I315" s="1"/>
  <c r="A317" l="1"/>
  <c r="C316"/>
  <c r="D316" s="1"/>
  <c r="E316" s="1"/>
  <c r="G316"/>
  <c r="H316" s="1"/>
  <c r="I316" s="1"/>
  <c r="A318" l="1"/>
  <c r="C317"/>
  <c r="D317" s="1"/>
  <c r="E317" s="1"/>
  <c r="G317"/>
  <c r="H317" s="1"/>
  <c r="I317" s="1"/>
  <c r="A319" l="1"/>
  <c r="C318"/>
  <c r="D318" s="1"/>
  <c r="E318" s="1"/>
  <c r="G318"/>
  <c r="H318" s="1"/>
  <c r="I318" s="1"/>
  <c r="A320" l="1"/>
  <c r="C319"/>
  <c r="D319" s="1"/>
  <c r="E319" s="1"/>
  <c r="G319"/>
  <c r="H319" s="1"/>
  <c r="I319" s="1"/>
  <c r="A321" l="1"/>
  <c r="C320"/>
  <c r="D320" s="1"/>
  <c r="E320" s="1"/>
  <c r="G320"/>
  <c r="H320" s="1"/>
  <c r="I320" s="1"/>
  <c r="A322" l="1"/>
  <c r="C321"/>
  <c r="D321" s="1"/>
  <c r="E321" s="1"/>
  <c r="G321"/>
  <c r="H321" s="1"/>
  <c r="I321" s="1"/>
  <c r="A323" l="1"/>
  <c r="C322"/>
  <c r="D322" s="1"/>
  <c r="E322" s="1"/>
  <c r="G322"/>
  <c r="H322" s="1"/>
  <c r="I322" s="1"/>
  <c r="A324" l="1"/>
  <c r="C323"/>
  <c r="D323" s="1"/>
  <c r="E323" s="1"/>
  <c r="G323"/>
  <c r="H323" s="1"/>
  <c r="I323" s="1"/>
  <c r="A325" l="1"/>
  <c r="C324"/>
  <c r="D324" s="1"/>
  <c r="E324" s="1"/>
  <c r="G324"/>
  <c r="H324" s="1"/>
  <c r="I324" s="1"/>
  <c r="A326" l="1"/>
  <c r="C325"/>
  <c r="D325" s="1"/>
  <c r="E325" s="1"/>
  <c r="G325"/>
  <c r="H325" s="1"/>
  <c r="I325" s="1"/>
  <c r="A327" l="1"/>
  <c r="C326"/>
  <c r="D326" s="1"/>
  <c r="E326" s="1"/>
  <c r="G326"/>
  <c r="H326" s="1"/>
  <c r="I326" s="1"/>
  <c r="A328" l="1"/>
  <c r="C327"/>
  <c r="D327" s="1"/>
  <c r="E327" s="1"/>
  <c r="G327"/>
  <c r="H327" s="1"/>
  <c r="I327" s="1"/>
  <c r="A329" l="1"/>
  <c r="C328"/>
  <c r="D328" s="1"/>
  <c r="E328" s="1"/>
  <c r="G328"/>
  <c r="H328" s="1"/>
  <c r="I328" s="1"/>
  <c r="A330" l="1"/>
  <c r="C329"/>
  <c r="D329" s="1"/>
  <c r="E329" s="1"/>
  <c r="G329"/>
  <c r="H329" s="1"/>
  <c r="I329" s="1"/>
  <c r="A331" l="1"/>
  <c r="C330"/>
  <c r="D330" s="1"/>
  <c r="E330" s="1"/>
  <c r="G330"/>
  <c r="H330" s="1"/>
  <c r="I330" s="1"/>
  <c r="A332" l="1"/>
  <c r="C331"/>
  <c r="D331" s="1"/>
  <c r="E331" s="1"/>
  <c r="G331"/>
  <c r="H331" s="1"/>
  <c r="I331" s="1"/>
  <c r="A333" l="1"/>
  <c r="C332"/>
  <c r="D332" s="1"/>
  <c r="E332" s="1"/>
  <c r="G332"/>
  <c r="H332" s="1"/>
  <c r="I332" s="1"/>
  <c r="A334" l="1"/>
  <c r="C333"/>
  <c r="D333" s="1"/>
  <c r="E333" s="1"/>
  <c r="G333"/>
  <c r="H333" s="1"/>
  <c r="I333" s="1"/>
  <c r="A335" l="1"/>
  <c r="C334"/>
  <c r="D334" s="1"/>
  <c r="E334" s="1"/>
  <c r="G334"/>
  <c r="H334" s="1"/>
  <c r="I334" s="1"/>
  <c r="A336" l="1"/>
  <c r="C335"/>
  <c r="D335" s="1"/>
  <c r="E335" s="1"/>
  <c r="G335"/>
  <c r="H335" s="1"/>
  <c r="I335" s="1"/>
  <c r="A337" l="1"/>
  <c r="C336"/>
  <c r="D336" s="1"/>
  <c r="E336" s="1"/>
  <c r="G336"/>
  <c r="H336" s="1"/>
  <c r="I336" s="1"/>
  <c r="A338" l="1"/>
  <c r="C337"/>
  <c r="D337" s="1"/>
  <c r="E337" s="1"/>
  <c r="G337"/>
  <c r="H337" s="1"/>
  <c r="I337" s="1"/>
  <c r="A339" l="1"/>
  <c r="C338"/>
  <c r="D338" s="1"/>
  <c r="E338" s="1"/>
  <c r="G338"/>
  <c r="H338" s="1"/>
  <c r="I338" s="1"/>
  <c r="A340" l="1"/>
  <c r="C339"/>
  <c r="D339" s="1"/>
  <c r="E339" s="1"/>
  <c r="G339"/>
  <c r="H339" s="1"/>
  <c r="I339" s="1"/>
  <c r="A341" l="1"/>
  <c r="C340"/>
  <c r="D340" s="1"/>
  <c r="E340" s="1"/>
  <c r="G340"/>
  <c r="H340" s="1"/>
  <c r="I340" s="1"/>
  <c r="A342" l="1"/>
  <c r="C341"/>
  <c r="D341" s="1"/>
  <c r="E341" s="1"/>
  <c r="G341"/>
  <c r="H341" s="1"/>
  <c r="I341" s="1"/>
  <c r="A343" l="1"/>
  <c r="C342"/>
  <c r="D342" s="1"/>
  <c r="E342" s="1"/>
  <c r="G342"/>
  <c r="H342" s="1"/>
  <c r="I342" s="1"/>
  <c r="A344" l="1"/>
  <c r="C343"/>
  <c r="D343" s="1"/>
  <c r="E343" s="1"/>
  <c r="G343"/>
  <c r="H343" s="1"/>
  <c r="I343" s="1"/>
  <c r="A345" l="1"/>
  <c r="C344"/>
  <c r="D344" s="1"/>
  <c r="E344" s="1"/>
  <c r="G344"/>
  <c r="H344" s="1"/>
  <c r="I344" s="1"/>
  <c r="A346" l="1"/>
  <c r="C345"/>
  <c r="D345" s="1"/>
  <c r="E345" s="1"/>
  <c r="G345"/>
  <c r="H345" s="1"/>
  <c r="I345" s="1"/>
  <c r="A347" l="1"/>
  <c r="C346"/>
  <c r="D346" s="1"/>
  <c r="E346" s="1"/>
  <c r="G346"/>
  <c r="H346" s="1"/>
  <c r="I346" s="1"/>
  <c r="A348" l="1"/>
  <c r="C347"/>
  <c r="D347" s="1"/>
  <c r="E347" s="1"/>
  <c r="G347"/>
  <c r="H347" s="1"/>
  <c r="I347" s="1"/>
  <c r="A349" l="1"/>
  <c r="C348"/>
  <c r="D348" s="1"/>
  <c r="E348" s="1"/>
  <c r="G348"/>
  <c r="H348" s="1"/>
  <c r="I348" s="1"/>
  <c r="A350" l="1"/>
  <c r="C349"/>
  <c r="D349" s="1"/>
  <c r="E349" s="1"/>
  <c r="G349"/>
  <c r="H349" s="1"/>
  <c r="I349" s="1"/>
  <c r="A351" l="1"/>
  <c r="C350"/>
  <c r="D350" s="1"/>
  <c r="E350" s="1"/>
  <c r="G350"/>
  <c r="H350" s="1"/>
  <c r="I350" s="1"/>
  <c r="A352" l="1"/>
  <c r="C351"/>
  <c r="D351" s="1"/>
  <c r="E351" s="1"/>
  <c r="G351"/>
  <c r="H351" s="1"/>
  <c r="I351" s="1"/>
  <c r="A353" l="1"/>
  <c r="C352"/>
  <c r="D352" s="1"/>
  <c r="E352" s="1"/>
  <c r="G352"/>
  <c r="H352" s="1"/>
  <c r="I352" s="1"/>
  <c r="A354" l="1"/>
  <c r="C353"/>
  <c r="D353" s="1"/>
  <c r="E353" s="1"/>
  <c r="G353"/>
  <c r="H353" s="1"/>
  <c r="I353" s="1"/>
  <c r="A355" l="1"/>
  <c r="C354"/>
  <c r="D354" s="1"/>
  <c r="E354" s="1"/>
  <c r="G354"/>
  <c r="H354" s="1"/>
  <c r="I354" s="1"/>
  <c r="A356" l="1"/>
  <c r="C355"/>
  <c r="D355" s="1"/>
  <c r="E355" s="1"/>
  <c r="G355"/>
  <c r="H355" s="1"/>
  <c r="I355" s="1"/>
  <c r="A357" l="1"/>
  <c r="C356"/>
  <c r="D356" s="1"/>
  <c r="E356" s="1"/>
  <c r="G356"/>
  <c r="H356" s="1"/>
  <c r="I356" s="1"/>
  <c r="A358" l="1"/>
  <c r="C357"/>
  <c r="D357" s="1"/>
  <c r="E357" s="1"/>
  <c r="G357"/>
  <c r="H357" s="1"/>
  <c r="I357" s="1"/>
  <c r="A359" l="1"/>
  <c r="C358"/>
  <c r="D358" s="1"/>
  <c r="E358" s="1"/>
  <c r="G358"/>
  <c r="H358" s="1"/>
  <c r="I358" s="1"/>
  <c r="A360" l="1"/>
  <c r="C359"/>
  <c r="D359" s="1"/>
  <c r="E359" s="1"/>
  <c r="G359"/>
  <c r="H359" s="1"/>
  <c r="I359" s="1"/>
  <c r="A361" l="1"/>
  <c r="C360"/>
  <c r="D360" s="1"/>
  <c r="E360" s="1"/>
  <c r="G360"/>
  <c r="H360" s="1"/>
  <c r="I360" s="1"/>
  <c r="A362" l="1"/>
  <c r="C361"/>
  <c r="D361" s="1"/>
  <c r="E361" s="1"/>
  <c r="G361"/>
  <c r="H361" s="1"/>
  <c r="I361" s="1"/>
  <c r="A363" l="1"/>
  <c r="C362"/>
  <c r="D362" s="1"/>
  <c r="E362" s="1"/>
  <c r="G362"/>
  <c r="H362" s="1"/>
  <c r="I362" s="1"/>
  <c r="A364" l="1"/>
  <c r="C363"/>
  <c r="D363" s="1"/>
  <c r="E363" s="1"/>
  <c r="G363"/>
  <c r="H363" s="1"/>
  <c r="I363" s="1"/>
  <c r="A365" l="1"/>
  <c r="C364"/>
  <c r="D364" s="1"/>
  <c r="E364" s="1"/>
  <c r="G364"/>
  <c r="H364" s="1"/>
  <c r="I364" s="1"/>
  <c r="A366" l="1"/>
  <c r="C365"/>
  <c r="D365" s="1"/>
  <c r="E365" s="1"/>
  <c r="G365"/>
  <c r="H365" s="1"/>
  <c r="I365" s="1"/>
  <c r="A367" l="1"/>
  <c r="C366"/>
  <c r="D366" s="1"/>
  <c r="E366" s="1"/>
  <c r="G366"/>
  <c r="H366" s="1"/>
  <c r="I366" s="1"/>
  <c r="A368" l="1"/>
  <c r="C367"/>
  <c r="D367" s="1"/>
  <c r="E367" s="1"/>
  <c r="G367"/>
  <c r="H367" s="1"/>
  <c r="I367" s="1"/>
  <c r="A369" l="1"/>
  <c r="C368"/>
  <c r="D368" s="1"/>
  <c r="E368" s="1"/>
  <c r="G368"/>
  <c r="H368" s="1"/>
  <c r="I368" s="1"/>
  <c r="A370" l="1"/>
  <c r="C369"/>
  <c r="D369" s="1"/>
  <c r="E369" s="1"/>
  <c r="G369"/>
  <c r="H369" s="1"/>
  <c r="I369" s="1"/>
  <c r="A371" l="1"/>
  <c r="C370"/>
  <c r="D370" s="1"/>
  <c r="E370" s="1"/>
  <c r="G370"/>
  <c r="H370" s="1"/>
  <c r="I370" s="1"/>
  <c r="A372" l="1"/>
  <c r="C371"/>
  <c r="D371" s="1"/>
  <c r="E371" s="1"/>
  <c r="G371"/>
  <c r="H371" s="1"/>
  <c r="I371" s="1"/>
  <c r="A373" l="1"/>
  <c r="C372"/>
  <c r="D372" s="1"/>
  <c r="E372" s="1"/>
  <c r="G372"/>
  <c r="H372" s="1"/>
  <c r="I372" s="1"/>
  <c r="A374" l="1"/>
  <c r="C373"/>
  <c r="D373" s="1"/>
  <c r="E373" s="1"/>
  <c r="G373"/>
  <c r="H373" s="1"/>
  <c r="I373" s="1"/>
  <c r="A375" l="1"/>
  <c r="C374"/>
  <c r="D374" s="1"/>
  <c r="E374" s="1"/>
  <c r="G374"/>
  <c r="H374" s="1"/>
  <c r="I374" s="1"/>
  <c r="A376" l="1"/>
  <c r="C375"/>
  <c r="D375" s="1"/>
  <c r="E375" s="1"/>
  <c r="G375"/>
  <c r="H375" s="1"/>
  <c r="I375" s="1"/>
  <c r="A377" l="1"/>
  <c r="C376"/>
  <c r="D376" s="1"/>
  <c r="E376" s="1"/>
  <c r="G376"/>
  <c r="H376" s="1"/>
  <c r="I376" s="1"/>
  <c r="A378" l="1"/>
  <c r="C377"/>
  <c r="D377" s="1"/>
  <c r="E377" s="1"/>
  <c r="G377"/>
  <c r="H377" s="1"/>
  <c r="I377" s="1"/>
  <c r="A379" l="1"/>
  <c r="C378"/>
  <c r="D378" s="1"/>
  <c r="E378" s="1"/>
  <c r="G378"/>
  <c r="H378" s="1"/>
  <c r="I378" s="1"/>
  <c r="A380" l="1"/>
  <c r="C379"/>
  <c r="D379" s="1"/>
  <c r="E379" s="1"/>
  <c r="G379"/>
  <c r="H379" s="1"/>
  <c r="I379" s="1"/>
  <c r="A381" l="1"/>
  <c r="C380"/>
  <c r="D380" s="1"/>
  <c r="E380" s="1"/>
  <c r="G380"/>
  <c r="H380" s="1"/>
  <c r="I380" s="1"/>
  <c r="A382" l="1"/>
  <c r="C381"/>
  <c r="D381" s="1"/>
  <c r="E381" s="1"/>
  <c r="G381"/>
  <c r="H381" s="1"/>
  <c r="I381" s="1"/>
  <c r="A383" l="1"/>
  <c r="C382"/>
  <c r="D382" s="1"/>
  <c r="E382" s="1"/>
  <c r="G382"/>
  <c r="H382" s="1"/>
  <c r="I382" s="1"/>
  <c r="A384" l="1"/>
  <c r="C383"/>
  <c r="D383" s="1"/>
  <c r="E383" s="1"/>
  <c r="G383"/>
  <c r="H383" s="1"/>
  <c r="I383" s="1"/>
  <c r="A385" l="1"/>
  <c r="C384"/>
  <c r="D384" s="1"/>
  <c r="E384" s="1"/>
  <c r="G384"/>
  <c r="H384" s="1"/>
  <c r="I384" s="1"/>
  <c r="A386" l="1"/>
  <c r="C385"/>
  <c r="D385" s="1"/>
  <c r="E385" s="1"/>
  <c r="G385"/>
  <c r="H385" s="1"/>
  <c r="I385" s="1"/>
  <c r="A387" l="1"/>
  <c r="C386"/>
  <c r="D386" s="1"/>
  <c r="E386" s="1"/>
  <c r="G386"/>
  <c r="H386" s="1"/>
  <c r="I386" s="1"/>
  <c r="A388" l="1"/>
  <c r="C387"/>
  <c r="D387" s="1"/>
  <c r="E387" s="1"/>
  <c r="G387"/>
  <c r="H387" s="1"/>
  <c r="I387" s="1"/>
  <c r="A389" l="1"/>
  <c r="C388"/>
  <c r="D388" s="1"/>
  <c r="E388" s="1"/>
  <c r="G388"/>
  <c r="H388" s="1"/>
  <c r="I388" s="1"/>
  <c r="A390" l="1"/>
  <c r="C389"/>
  <c r="D389" s="1"/>
  <c r="E389" s="1"/>
  <c r="G389"/>
  <c r="H389" s="1"/>
  <c r="I389" s="1"/>
  <c r="A391" l="1"/>
  <c r="C390"/>
  <c r="D390" s="1"/>
  <c r="E390" s="1"/>
  <c r="G390"/>
  <c r="H390" s="1"/>
  <c r="I390" s="1"/>
  <c r="A392" l="1"/>
  <c r="C391"/>
  <c r="D391" s="1"/>
  <c r="E391" s="1"/>
  <c r="G391"/>
  <c r="H391" s="1"/>
  <c r="I391" s="1"/>
  <c r="A393" l="1"/>
  <c r="C392"/>
  <c r="D392" s="1"/>
  <c r="E392" s="1"/>
  <c r="G392"/>
  <c r="H392" s="1"/>
  <c r="I392" s="1"/>
  <c r="A394" l="1"/>
  <c r="C393"/>
  <c r="D393" s="1"/>
  <c r="E393" s="1"/>
  <c r="G393"/>
  <c r="H393" s="1"/>
  <c r="I393" s="1"/>
  <c r="A395" l="1"/>
  <c r="C394"/>
  <c r="D394" s="1"/>
  <c r="E394" s="1"/>
  <c r="G394"/>
  <c r="H394" s="1"/>
  <c r="I394" s="1"/>
  <c r="A396" l="1"/>
  <c r="C395"/>
  <c r="D395" s="1"/>
  <c r="E395" s="1"/>
  <c r="G395"/>
  <c r="H395" s="1"/>
  <c r="I395" s="1"/>
  <c r="A397" l="1"/>
  <c r="C396"/>
  <c r="D396" s="1"/>
  <c r="E396" s="1"/>
  <c r="G396"/>
  <c r="H396" s="1"/>
  <c r="I396" s="1"/>
  <c r="A398" l="1"/>
  <c r="C397"/>
  <c r="D397" s="1"/>
  <c r="E397" s="1"/>
  <c r="G397"/>
  <c r="H397" s="1"/>
  <c r="I397" s="1"/>
  <c r="A399" l="1"/>
  <c r="C398"/>
  <c r="D398" s="1"/>
  <c r="E398" s="1"/>
  <c r="G398"/>
  <c r="H398" s="1"/>
  <c r="I398" s="1"/>
  <c r="A400" l="1"/>
  <c r="C399"/>
  <c r="D399" s="1"/>
  <c r="E399" s="1"/>
  <c r="G399"/>
  <c r="H399" s="1"/>
  <c r="I399" s="1"/>
  <c r="A401" l="1"/>
  <c r="C400"/>
  <c r="D400" s="1"/>
  <c r="E400" s="1"/>
  <c r="G400"/>
  <c r="H400" s="1"/>
  <c r="I400" s="1"/>
  <c r="A402" l="1"/>
  <c r="C401"/>
  <c r="D401" s="1"/>
  <c r="E401" s="1"/>
  <c r="G401"/>
  <c r="H401" s="1"/>
  <c r="I401" s="1"/>
  <c r="A403" l="1"/>
  <c r="C402"/>
  <c r="D402" s="1"/>
  <c r="E402" s="1"/>
  <c r="G402"/>
  <c r="H402" s="1"/>
  <c r="I402" s="1"/>
  <c r="A404" l="1"/>
  <c r="C403"/>
  <c r="D403" s="1"/>
  <c r="E403" s="1"/>
  <c r="G403"/>
  <c r="H403" s="1"/>
  <c r="I403" s="1"/>
  <c r="A405" l="1"/>
  <c r="C404"/>
  <c r="D404" s="1"/>
  <c r="E404" s="1"/>
  <c r="G404"/>
  <c r="H404" s="1"/>
  <c r="I404" s="1"/>
  <c r="A406" l="1"/>
  <c r="C405"/>
  <c r="D405" s="1"/>
  <c r="E405" s="1"/>
  <c r="G405"/>
  <c r="H405" s="1"/>
  <c r="I405" s="1"/>
  <c r="A407" l="1"/>
  <c r="C406"/>
  <c r="D406" s="1"/>
  <c r="E406" s="1"/>
  <c r="G406"/>
  <c r="H406" s="1"/>
  <c r="I406" s="1"/>
  <c r="A408" l="1"/>
  <c r="C407"/>
  <c r="D407" s="1"/>
  <c r="E407" s="1"/>
  <c r="G407"/>
  <c r="H407" s="1"/>
  <c r="I407" s="1"/>
  <c r="A409" l="1"/>
  <c r="C408"/>
  <c r="D408" s="1"/>
  <c r="E408" s="1"/>
  <c r="G408"/>
  <c r="H408" s="1"/>
  <c r="I408" s="1"/>
  <c r="A410" l="1"/>
  <c r="C409"/>
  <c r="D409" s="1"/>
  <c r="E409" s="1"/>
  <c r="G409"/>
  <c r="H409" s="1"/>
  <c r="I409" s="1"/>
  <c r="A411" l="1"/>
  <c r="C410"/>
  <c r="D410" s="1"/>
  <c r="E410" s="1"/>
  <c r="G410"/>
  <c r="H410" s="1"/>
  <c r="I410" s="1"/>
  <c r="A412" l="1"/>
  <c r="C411"/>
  <c r="D411" s="1"/>
  <c r="E411" s="1"/>
  <c r="G411"/>
  <c r="H411" s="1"/>
  <c r="I411" s="1"/>
  <c r="A413" l="1"/>
  <c r="C412"/>
  <c r="D412" s="1"/>
  <c r="E412" s="1"/>
  <c r="G412"/>
  <c r="H412" s="1"/>
  <c r="I412" s="1"/>
  <c r="A414" l="1"/>
  <c r="C413"/>
  <c r="D413" s="1"/>
  <c r="E413" s="1"/>
  <c r="G413"/>
  <c r="H413" s="1"/>
  <c r="I413" s="1"/>
  <c r="A415" l="1"/>
  <c r="C414"/>
  <c r="D414" s="1"/>
  <c r="E414" s="1"/>
  <c r="G414"/>
  <c r="H414" s="1"/>
  <c r="I414" s="1"/>
  <c r="A416" l="1"/>
  <c r="C415"/>
  <c r="D415" s="1"/>
  <c r="E415" s="1"/>
  <c r="G415"/>
  <c r="H415" s="1"/>
  <c r="I415" s="1"/>
  <c r="A417" l="1"/>
  <c r="C416"/>
  <c r="D416" s="1"/>
  <c r="E416" s="1"/>
  <c r="G416"/>
  <c r="H416" s="1"/>
  <c r="I416" s="1"/>
  <c r="A418" l="1"/>
  <c r="C417"/>
  <c r="D417" s="1"/>
  <c r="E417" s="1"/>
  <c r="G417"/>
  <c r="H417" s="1"/>
  <c r="I417" s="1"/>
  <c r="A419" l="1"/>
  <c r="C418"/>
  <c r="D418" s="1"/>
  <c r="E418" s="1"/>
  <c r="G418"/>
  <c r="H418" s="1"/>
  <c r="I418" s="1"/>
  <c r="A420" l="1"/>
  <c r="C419"/>
  <c r="D419" s="1"/>
  <c r="E419" s="1"/>
  <c r="G419"/>
  <c r="H419" s="1"/>
  <c r="I419" s="1"/>
  <c r="A421" l="1"/>
  <c r="C420"/>
  <c r="D420" s="1"/>
  <c r="E420" s="1"/>
  <c r="G420"/>
  <c r="H420" s="1"/>
  <c r="I420" s="1"/>
  <c r="A422" l="1"/>
  <c r="C421"/>
  <c r="D421" s="1"/>
  <c r="E421" s="1"/>
  <c r="G421"/>
  <c r="H421" s="1"/>
  <c r="I421" s="1"/>
  <c r="A423" l="1"/>
  <c r="C422"/>
  <c r="D422" s="1"/>
  <c r="E422" s="1"/>
  <c r="G422"/>
  <c r="H422" s="1"/>
  <c r="I422" s="1"/>
  <c r="A424" l="1"/>
  <c r="C423"/>
  <c r="D423" s="1"/>
  <c r="E423" s="1"/>
  <c r="G423"/>
  <c r="H423" s="1"/>
  <c r="I423" s="1"/>
  <c r="A425" l="1"/>
  <c r="C424"/>
  <c r="D424" s="1"/>
  <c r="E424" s="1"/>
  <c r="G424"/>
  <c r="H424" s="1"/>
  <c r="I424" s="1"/>
  <c r="A426" l="1"/>
  <c r="C425"/>
  <c r="D425" s="1"/>
  <c r="E425" s="1"/>
  <c r="G425"/>
  <c r="H425" s="1"/>
  <c r="I425" s="1"/>
  <c r="A427" l="1"/>
  <c r="C426"/>
  <c r="D426" s="1"/>
  <c r="E426" s="1"/>
  <c r="G426"/>
  <c r="H426" s="1"/>
  <c r="I426" s="1"/>
  <c r="A428" l="1"/>
  <c r="C427"/>
  <c r="D427" s="1"/>
  <c r="E427" s="1"/>
  <c r="G427"/>
  <c r="H427" s="1"/>
  <c r="I427" s="1"/>
  <c r="A429" l="1"/>
  <c r="C428"/>
  <c r="D428" s="1"/>
  <c r="E428" s="1"/>
  <c r="G428"/>
  <c r="H428" s="1"/>
  <c r="I428" s="1"/>
  <c r="A430" l="1"/>
  <c r="C429"/>
  <c r="D429" s="1"/>
  <c r="E429" s="1"/>
  <c r="G429"/>
  <c r="H429" s="1"/>
  <c r="I429" s="1"/>
  <c r="A431" l="1"/>
  <c r="C430"/>
  <c r="D430" s="1"/>
  <c r="E430" s="1"/>
  <c r="G430"/>
  <c r="H430" s="1"/>
  <c r="I430" s="1"/>
  <c r="A432" l="1"/>
  <c r="C431"/>
  <c r="D431" s="1"/>
  <c r="E431" s="1"/>
  <c r="G431"/>
  <c r="H431" s="1"/>
  <c r="I431" s="1"/>
  <c r="A433" l="1"/>
  <c r="C432"/>
  <c r="D432" s="1"/>
  <c r="E432" s="1"/>
  <c r="G432"/>
  <c r="H432" s="1"/>
  <c r="I432" s="1"/>
  <c r="A434" l="1"/>
  <c r="C433"/>
  <c r="D433" s="1"/>
  <c r="E433" s="1"/>
  <c r="G433"/>
  <c r="H433" s="1"/>
  <c r="I433" s="1"/>
  <c r="A435" l="1"/>
  <c r="C434"/>
  <c r="D434" s="1"/>
  <c r="E434" s="1"/>
  <c r="G434"/>
  <c r="H434" s="1"/>
  <c r="I434" s="1"/>
  <c r="A436" l="1"/>
  <c r="C435"/>
  <c r="D435" s="1"/>
  <c r="E435" s="1"/>
  <c r="G435"/>
  <c r="H435" s="1"/>
  <c r="I435" s="1"/>
  <c r="A437" l="1"/>
  <c r="C436"/>
  <c r="D436" s="1"/>
  <c r="E436" s="1"/>
  <c r="G436"/>
  <c r="H436" s="1"/>
  <c r="I436" s="1"/>
  <c r="A438" l="1"/>
  <c r="C437"/>
  <c r="D437" s="1"/>
  <c r="E437" s="1"/>
  <c r="G437"/>
  <c r="H437" s="1"/>
  <c r="I437" s="1"/>
  <c r="A439" l="1"/>
  <c r="C438"/>
  <c r="D438" s="1"/>
  <c r="E438" s="1"/>
  <c r="G438"/>
  <c r="H438" s="1"/>
  <c r="I438" s="1"/>
  <c r="A440" l="1"/>
  <c r="G439"/>
  <c r="H439" s="1"/>
  <c r="I439" s="1"/>
  <c r="C439"/>
  <c r="D439" s="1"/>
  <c r="E439" s="1"/>
  <c r="A441" l="1"/>
  <c r="C440"/>
  <c r="D440" s="1"/>
  <c r="E440" s="1"/>
  <c r="G440"/>
  <c r="H440" s="1"/>
  <c r="I440" s="1"/>
  <c r="A442" l="1"/>
  <c r="C441"/>
  <c r="D441" s="1"/>
  <c r="E441" s="1"/>
  <c r="G441"/>
  <c r="H441" s="1"/>
  <c r="I441" s="1"/>
  <c r="A443" l="1"/>
  <c r="C442"/>
  <c r="D442" s="1"/>
  <c r="E442" s="1"/>
  <c r="G442"/>
  <c r="H442" s="1"/>
  <c r="I442" s="1"/>
  <c r="A444" l="1"/>
  <c r="C443"/>
  <c r="D443" s="1"/>
  <c r="E443" s="1"/>
  <c r="G443"/>
  <c r="H443" s="1"/>
  <c r="I443" s="1"/>
  <c r="A445" l="1"/>
  <c r="C444"/>
  <c r="D444" s="1"/>
  <c r="E444" s="1"/>
  <c r="G444"/>
  <c r="H444" s="1"/>
  <c r="I444" s="1"/>
  <c r="A446" l="1"/>
  <c r="C445"/>
  <c r="D445" s="1"/>
  <c r="E445" s="1"/>
  <c r="G445"/>
  <c r="H445" s="1"/>
  <c r="I445" s="1"/>
  <c r="A447" l="1"/>
  <c r="C446"/>
  <c r="D446" s="1"/>
  <c r="E446" s="1"/>
  <c r="G446"/>
  <c r="H446" s="1"/>
  <c r="I446" s="1"/>
  <c r="C447" l="1"/>
  <c r="D447" s="1"/>
  <c r="E447" s="1"/>
  <c r="G447"/>
  <c r="H447" s="1"/>
  <c r="I447" s="1"/>
</calcChain>
</file>

<file path=xl/sharedStrings.xml><?xml version="1.0" encoding="utf-8"?>
<sst xmlns="http://schemas.openxmlformats.org/spreadsheetml/2006/main" count="40" uniqueCount="33">
  <si>
    <t>#automóvel</t>
  </si>
  <si>
    <t>#ônibus</t>
  </si>
  <si>
    <t>m/s</t>
  </si>
  <si>
    <t>m</t>
  </si>
  <si>
    <t>a=</t>
  </si>
  <si>
    <t>valor</t>
  </si>
  <si>
    <t>unidade</t>
  </si>
  <si>
    <t>v=</t>
  </si>
  <si>
    <t>km/h</t>
  </si>
  <si>
    <t>=</t>
  </si>
  <si>
    <r>
      <t>v</t>
    </r>
    <r>
      <rPr>
        <vertAlign val="subscript"/>
        <sz val="12"/>
        <color theme="1"/>
        <rFont val="Arial"/>
        <family val="2"/>
      </rPr>
      <t>0</t>
    </r>
    <r>
      <rPr>
        <sz val="12"/>
        <color theme="1"/>
        <rFont val="Arial"/>
        <family val="2"/>
      </rPr>
      <t>=</t>
    </r>
  </si>
  <si>
    <r>
      <t>d</t>
    </r>
    <r>
      <rPr>
        <vertAlign val="subscript"/>
        <sz val="12"/>
        <color theme="1"/>
        <rFont val="Arial"/>
        <family val="2"/>
      </rPr>
      <t>0</t>
    </r>
    <r>
      <rPr>
        <sz val="12"/>
        <color theme="1"/>
        <rFont val="Arial"/>
        <family val="2"/>
      </rPr>
      <t>=</t>
    </r>
  </si>
  <si>
    <r>
      <t>m/s</t>
    </r>
    <r>
      <rPr>
        <vertAlign val="superscript"/>
        <sz val="12"/>
        <color theme="1"/>
        <rFont val="Arial"/>
        <family val="2"/>
      </rPr>
      <t>2</t>
    </r>
  </si>
  <si>
    <t>tempo</t>
  </si>
  <si>
    <r>
      <t>D</t>
    </r>
    <r>
      <rPr>
        <vertAlign val="subscript"/>
        <sz val="11"/>
        <color theme="1"/>
        <rFont val="Calibri"/>
        <family val="2"/>
        <scheme val="minor"/>
      </rPr>
      <t>automóvel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</si>
  <si>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t=</t>
    </r>
  </si>
  <si>
    <r>
      <t>a</t>
    </r>
    <r>
      <rPr>
        <vertAlign val="subscript"/>
        <sz val="11"/>
        <color theme="1"/>
        <rFont val="Calibri"/>
        <family val="2"/>
        <scheme val="minor"/>
      </rPr>
      <t>automóvel</t>
    </r>
  </si>
  <si>
    <r>
      <t>V</t>
    </r>
    <r>
      <rPr>
        <vertAlign val="subscript"/>
        <sz val="11"/>
        <color theme="1"/>
        <rFont val="Calibri"/>
        <family val="2"/>
        <scheme val="minor"/>
      </rPr>
      <t>automóvel</t>
    </r>
  </si>
  <si>
    <r>
      <t>d</t>
    </r>
    <r>
      <rPr>
        <vertAlign val="subscript"/>
        <sz val="11"/>
        <color theme="1"/>
        <rFont val="Calibri"/>
        <family val="2"/>
        <scheme val="minor"/>
      </rPr>
      <t>ônibus</t>
    </r>
  </si>
  <si>
    <r>
      <t>a</t>
    </r>
    <r>
      <rPr>
        <vertAlign val="subscript"/>
        <sz val="11"/>
        <color theme="1"/>
        <rFont val="Calibri"/>
        <family val="2"/>
        <scheme val="minor"/>
      </rPr>
      <t>ônibus</t>
    </r>
  </si>
  <si>
    <r>
      <t>v</t>
    </r>
    <r>
      <rPr>
        <vertAlign val="subscript"/>
        <sz val="11"/>
        <color theme="1"/>
        <rFont val="Calibri"/>
        <family val="2"/>
        <scheme val="minor"/>
      </rPr>
      <t>ônibus</t>
    </r>
  </si>
  <si>
    <t>s</t>
  </si>
  <si>
    <t>hora</t>
  </si>
  <si>
    <t>minuto</t>
  </si>
  <si>
    <t>segundo</t>
  </si>
  <si>
    <t>ângulo</t>
  </si>
  <si>
    <t>x0</t>
  </si>
  <si>
    <t>y0</t>
  </si>
  <si>
    <t>x</t>
  </si>
  <si>
    <t>y</t>
  </si>
  <si>
    <t>centro</t>
  </si>
  <si>
    <t>extremo</t>
  </si>
  <si>
    <t>%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</si>
</sst>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7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2"/>
      <color theme="1"/>
      <name val="Arial"/>
      <family val="2"/>
    </font>
    <font>
      <vertAlign val="subscript"/>
      <sz val="12"/>
      <color theme="1"/>
      <name val="Arial"/>
      <family val="2"/>
    </font>
    <font>
      <vertAlign val="superscript"/>
      <sz val="12"/>
      <color theme="1"/>
      <name val="Arial"/>
      <family val="2"/>
    </font>
    <font>
      <sz val="11"/>
      <color theme="1"/>
      <name val="Symbol"/>
      <family val="1"/>
      <charset val="2"/>
    </font>
    <font>
      <sz val="14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0" xfId="0" applyFont="1" applyFill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9" fontId="0" fillId="0" borderId="0" xfId="0" applyNumberFormat="1"/>
    <xf numFmtId="0" fontId="0" fillId="0" borderId="0" xfId="0" applyAlignment="1">
      <alignment horizontal="center"/>
    </xf>
    <xf numFmtId="164" fontId="6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pt-BR"/>
              <a:t>Posição</a:t>
            </a:r>
            <a:r>
              <a:rPr lang="pt-BR" baseline="0"/>
              <a:t> do encontro</a:t>
            </a:r>
            <a:endParaRPr lang="pt-BR"/>
          </a:p>
        </c:rich>
      </c:tx>
    </c:title>
    <c:plotArea>
      <c:layout>
        <c:manualLayout>
          <c:layoutTarget val="inner"/>
          <c:xMode val="edge"/>
          <c:yMode val="edge"/>
          <c:x val="0.19051325751008741"/>
          <c:y val="0.10344536552731405"/>
          <c:w val="0.55205327976545349"/>
          <c:h val="0.78138064235672666"/>
        </c:manualLayout>
      </c:layout>
      <c:scatterChart>
        <c:scatterStyle val="smoothMarker"/>
        <c:ser>
          <c:idx val="0"/>
          <c:order val="0"/>
          <c:tx>
            <c:strRef>
              <c:f>Plan1!$C$21</c:f>
              <c:strCache>
                <c:ptCount val="1"/>
                <c:pt idx="0">
                  <c:v>Dautomóvel</c:v>
                </c:pt>
              </c:strCache>
            </c:strRef>
          </c:tx>
          <c:marker>
            <c:symbol val="none"/>
          </c:marker>
          <c:trendline>
            <c:trendlineType val="poly"/>
            <c:order val="2"/>
            <c:dispEq val="1"/>
            <c:trendlineLbl>
              <c:layout>
                <c:manualLayout>
                  <c:x val="-2.2508344728711847E-2"/>
                  <c:y val="7.567948298730727E-2"/>
                </c:manualLayout>
              </c:layout>
              <c:numFmt formatCode="General" sourceLinked="0"/>
            </c:trendlineLbl>
          </c:trendline>
          <c:xVal>
            <c:numRef>
              <c:f>Plan1!$A$22:$A$1722</c:f>
              <c:numCache>
                <c:formatCode>General</c:formatCode>
                <c:ptCount val="17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</c:numCache>
            </c:numRef>
          </c:xVal>
          <c:yVal>
            <c:numRef>
              <c:f>Plan1!$C$22:$C$1722</c:f>
              <c:numCache>
                <c:formatCode>General</c:formatCode>
                <c:ptCount val="1701"/>
                <c:pt idx="0">
                  <c:v>0</c:v>
                </c:pt>
                <c:pt idx="1">
                  <c:v>1.0000000000000002E-2</c:v>
                </c:pt>
                <c:pt idx="2">
                  <c:v>4.0000000000000008E-2</c:v>
                </c:pt>
                <c:pt idx="3">
                  <c:v>9.0000000000000024E-2</c:v>
                </c:pt>
                <c:pt idx="4">
                  <c:v>0.16000000000000003</c:v>
                </c:pt>
                <c:pt idx="5">
                  <c:v>0.25</c:v>
                </c:pt>
                <c:pt idx="6">
                  <c:v>0.36</c:v>
                </c:pt>
                <c:pt idx="7">
                  <c:v>0.48999999999999994</c:v>
                </c:pt>
                <c:pt idx="8">
                  <c:v>0.6399999999999999</c:v>
                </c:pt>
                <c:pt idx="9">
                  <c:v>0.80999999999999983</c:v>
                </c:pt>
                <c:pt idx="10">
                  <c:v>0.99999999999999978</c:v>
                </c:pt>
                <c:pt idx="11">
                  <c:v>1.2099999999999997</c:v>
                </c:pt>
                <c:pt idx="12">
                  <c:v>1.44</c:v>
                </c:pt>
                <c:pt idx="13">
                  <c:v>1.6900000000000002</c:v>
                </c:pt>
                <c:pt idx="14">
                  <c:v>1.9600000000000004</c:v>
                </c:pt>
                <c:pt idx="15">
                  <c:v>2.2500000000000009</c:v>
                </c:pt>
                <c:pt idx="16">
                  <c:v>2.5600000000000009</c:v>
                </c:pt>
                <c:pt idx="17">
                  <c:v>2.8900000000000015</c:v>
                </c:pt>
                <c:pt idx="18">
                  <c:v>3.2400000000000015</c:v>
                </c:pt>
                <c:pt idx="19">
                  <c:v>3.6100000000000021</c:v>
                </c:pt>
                <c:pt idx="20">
                  <c:v>4.0000000000000018</c:v>
                </c:pt>
                <c:pt idx="21">
                  <c:v>4.4100000000000019</c:v>
                </c:pt>
                <c:pt idx="22">
                  <c:v>4.8400000000000025</c:v>
                </c:pt>
                <c:pt idx="23">
                  <c:v>5.2900000000000036</c:v>
                </c:pt>
                <c:pt idx="24">
                  <c:v>5.7600000000000042</c:v>
                </c:pt>
                <c:pt idx="25">
                  <c:v>6.2500000000000044</c:v>
                </c:pt>
                <c:pt idx="26">
                  <c:v>6.7600000000000051</c:v>
                </c:pt>
                <c:pt idx="27">
                  <c:v>7.2900000000000054</c:v>
                </c:pt>
                <c:pt idx="28">
                  <c:v>7.8400000000000061</c:v>
                </c:pt>
                <c:pt idx="29">
                  <c:v>8.4100000000000072</c:v>
                </c:pt>
                <c:pt idx="30">
                  <c:v>9.0000000000000071</c:v>
                </c:pt>
                <c:pt idx="31">
                  <c:v>9.6100000000000083</c:v>
                </c:pt>
                <c:pt idx="32">
                  <c:v>10.240000000000009</c:v>
                </c:pt>
                <c:pt idx="33">
                  <c:v>10.890000000000011</c:v>
                </c:pt>
                <c:pt idx="34">
                  <c:v>11.560000000000011</c:v>
                </c:pt>
                <c:pt idx="35">
                  <c:v>12.250000000000012</c:v>
                </c:pt>
                <c:pt idx="36">
                  <c:v>12.960000000000013</c:v>
                </c:pt>
                <c:pt idx="37">
                  <c:v>13.690000000000014</c:v>
                </c:pt>
                <c:pt idx="38">
                  <c:v>14.440000000000015</c:v>
                </c:pt>
                <c:pt idx="39">
                  <c:v>15.210000000000017</c:v>
                </c:pt>
                <c:pt idx="40">
                  <c:v>16.000000000000014</c:v>
                </c:pt>
                <c:pt idx="41">
                  <c:v>16.810000000000013</c:v>
                </c:pt>
                <c:pt idx="42">
                  <c:v>17.640000000000008</c:v>
                </c:pt>
                <c:pt idx="43">
                  <c:v>18.490000000000006</c:v>
                </c:pt>
                <c:pt idx="44">
                  <c:v>19.360000000000003</c:v>
                </c:pt>
                <c:pt idx="45">
                  <c:v>20.25</c:v>
                </c:pt>
                <c:pt idx="46">
                  <c:v>21.159999999999997</c:v>
                </c:pt>
                <c:pt idx="47">
                  <c:v>22.089999999999993</c:v>
                </c:pt>
                <c:pt idx="48">
                  <c:v>23.039999999999988</c:v>
                </c:pt>
                <c:pt idx="49">
                  <c:v>24.009999999999987</c:v>
                </c:pt>
                <c:pt idx="50">
                  <c:v>24.999999999999982</c:v>
                </c:pt>
                <c:pt idx="51">
                  <c:v>26.009999999999977</c:v>
                </c:pt>
                <c:pt idx="52">
                  <c:v>27.039999999999974</c:v>
                </c:pt>
                <c:pt idx="53">
                  <c:v>28.089999999999971</c:v>
                </c:pt>
                <c:pt idx="54">
                  <c:v>29.159999999999965</c:v>
                </c:pt>
                <c:pt idx="55">
                  <c:v>30.249999999999961</c:v>
                </c:pt>
                <c:pt idx="56">
                  <c:v>31.359999999999957</c:v>
                </c:pt>
                <c:pt idx="57">
                  <c:v>32.489999999999952</c:v>
                </c:pt>
                <c:pt idx="58">
                  <c:v>33.639999999999944</c:v>
                </c:pt>
                <c:pt idx="59">
                  <c:v>34.809999999999938</c:v>
                </c:pt>
                <c:pt idx="60">
                  <c:v>35.999999999999936</c:v>
                </c:pt>
                <c:pt idx="61">
                  <c:v>37.20999999999993</c:v>
                </c:pt>
                <c:pt idx="62">
                  <c:v>38.439999999999927</c:v>
                </c:pt>
                <c:pt idx="63">
                  <c:v>39.68999999999992</c:v>
                </c:pt>
                <c:pt idx="64">
                  <c:v>40.959999999999916</c:v>
                </c:pt>
                <c:pt idx="65">
                  <c:v>42.249999999999908</c:v>
                </c:pt>
                <c:pt idx="66">
                  <c:v>43.559999999999903</c:v>
                </c:pt>
                <c:pt idx="67">
                  <c:v>44.889999999999894</c:v>
                </c:pt>
                <c:pt idx="68">
                  <c:v>46.239999999999888</c:v>
                </c:pt>
                <c:pt idx="69">
                  <c:v>47.609999999999886</c:v>
                </c:pt>
                <c:pt idx="70">
                  <c:v>48.999999999999872</c:v>
                </c:pt>
                <c:pt idx="71">
                  <c:v>50.409999999999869</c:v>
                </c:pt>
                <c:pt idx="72">
                  <c:v>51.839999999999861</c:v>
                </c:pt>
                <c:pt idx="73">
                  <c:v>53.289999999999857</c:v>
                </c:pt>
                <c:pt idx="74">
                  <c:v>54.759999999999849</c:v>
                </c:pt>
                <c:pt idx="75">
                  <c:v>56.249999999999844</c:v>
                </c:pt>
                <c:pt idx="76">
                  <c:v>57.759999999999835</c:v>
                </c:pt>
                <c:pt idx="77">
                  <c:v>59.289999999999822</c:v>
                </c:pt>
                <c:pt idx="78">
                  <c:v>60.839999999999819</c:v>
                </c:pt>
                <c:pt idx="79">
                  <c:v>62.409999999999812</c:v>
                </c:pt>
                <c:pt idx="80">
                  <c:v>63.999999999999801</c:v>
                </c:pt>
                <c:pt idx="81">
                  <c:v>65.609999999999786</c:v>
                </c:pt>
                <c:pt idx="82">
                  <c:v>67.239999999999782</c:v>
                </c:pt>
                <c:pt idx="83">
                  <c:v>68.889999999999773</c:v>
                </c:pt>
                <c:pt idx="84">
                  <c:v>70.559999999999761</c:v>
                </c:pt>
                <c:pt idx="85">
                  <c:v>72.249999999999758</c:v>
                </c:pt>
                <c:pt idx="86">
                  <c:v>73.959999999999752</c:v>
                </c:pt>
                <c:pt idx="87">
                  <c:v>75.689999999999742</c:v>
                </c:pt>
                <c:pt idx="88">
                  <c:v>77.439999999999728</c:v>
                </c:pt>
                <c:pt idx="89">
                  <c:v>79.209999999999724</c:v>
                </c:pt>
                <c:pt idx="90">
                  <c:v>80.999999999999716</c:v>
                </c:pt>
                <c:pt idx="91">
                  <c:v>82.809999999999704</c:v>
                </c:pt>
                <c:pt idx="92">
                  <c:v>84.639999999999688</c:v>
                </c:pt>
                <c:pt idx="93">
                  <c:v>86.489999999999682</c:v>
                </c:pt>
                <c:pt idx="94">
                  <c:v>88.359999999999673</c:v>
                </c:pt>
                <c:pt idx="95">
                  <c:v>90.249999999999659</c:v>
                </c:pt>
                <c:pt idx="96">
                  <c:v>92.159999999999656</c:v>
                </c:pt>
                <c:pt idx="97">
                  <c:v>94.089999999999648</c:v>
                </c:pt>
                <c:pt idx="98">
                  <c:v>96.039999999999637</c:v>
                </c:pt>
                <c:pt idx="99">
                  <c:v>98.009999999999621</c:v>
                </c:pt>
                <c:pt idx="100">
                  <c:v>99.999999999999602</c:v>
                </c:pt>
                <c:pt idx="101">
                  <c:v>102.00999999999959</c:v>
                </c:pt>
                <c:pt idx="102">
                  <c:v>104.03999999999958</c:v>
                </c:pt>
                <c:pt idx="103">
                  <c:v>106.08999999999958</c:v>
                </c:pt>
                <c:pt idx="104">
                  <c:v>108.15999999999957</c:v>
                </c:pt>
                <c:pt idx="105">
                  <c:v>110.24999999999955</c:v>
                </c:pt>
                <c:pt idx="106">
                  <c:v>112.35999999999954</c:v>
                </c:pt>
                <c:pt idx="107">
                  <c:v>114.48999999999953</c:v>
                </c:pt>
                <c:pt idx="108">
                  <c:v>116.63999999999952</c:v>
                </c:pt>
                <c:pt idx="109">
                  <c:v>118.8099999999995</c:v>
                </c:pt>
                <c:pt idx="110">
                  <c:v>120.99999999999949</c:v>
                </c:pt>
                <c:pt idx="111">
                  <c:v>123.20999999999948</c:v>
                </c:pt>
                <c:pt idx="112">
                  <c:v>125.43999999999947</c:v>
                </c:pt>
                <c:pt idx="113">
                  <c:v>127.68999999999946</c:v>
                </c:pt>
                <c:pt idx="114">
                  <c:v>129.95999999999944</c:v>
                </c:pt>
                <c:pt idx="115">
                  <c:v>132.24999999999943</c:v>
                </c:pt>
                <c:pt idx="116">
                  <c:v>134.55999999999941</c:v>
                </c:pt>
                <c:pt idx="117">
                  <c:v>136.88999999999939</c:v>
                </c:pt>
                <c:pt idx="118">
                  <c:v>139.23999999999938</c:v>
                </c:pt>
                <c:pt idx="119">
                  <c:v>141.60999999999939</c:v>
                </c:pt>
                <c:pt idx="120">
                  <c:v>143.99999999999937</c:v>
                </c:pt>
                <c:pt idx="121">
                  <c:v>146.40999999999934</c:v>
                </c:pt>
                <c:pt idx="122">
                  <c:v>148.83999999999932</c:v>
                </c:pt>
                <c:pt idx="123">
                  <c:v>151.28999999999931</c:v>
                </c:pt>
                <c:pt idx="124">
                  <c:v>153.75999999999931</c:v>
                </c:pt>
                <c:pt idx="125">
                  <c:v>156.24999999999929</c:v>
                </c:pt>
                <c:pt idx="126">
                  <c:v>158.75999999999928</c:v>
                </c:pt>
                <c:pt idx="127">
                  <c:v>161.28999999999925</c:v>
                </c:pt>
                <c:pt idx="128">
                  <c:v>163.83999999999924</c:v>
                </c:pt>
                <c:pt idx="129">
                  <c:v>166.40999999999923</c:v>
                </c:pt>
                <c:pt idx="130">
                  <c:v>168.9999999999992</c:v>
                </c:pt>
                <c:pt idx="131">
                  <c:v>171.60999999999919</c:v>
                </c:pt>
                <c:pt idx="132">
                  <c:v>174.23999999999918</c:v>
                </c:pt>
                <c:pt idx="133">
                  <c:v>176.88999999999916</c:v>
                </c:pt>
                <c:pt idx="134">
                  <c:v>179.55999999999915</c:v>
                </c:pt>
                <c:pt idx="135">
                  <c:v>182.24999999999915</c:v>
                </c:pt>
                <c:pt idx="136">
                  <c:v>184.95999999999913</c:v>
                </c:pt>
                <c:pt idx="137">
                  <c:v>187.68999999999912</c:v>
                </c:pt>
                <c:pt idx="138">
                  <c:v>190.43999999999909</c:v>
                </c:pt>
                <c:pt idx="139">
                  <c:v>193.20999999999907</c:v>
                </c:pt>
                <c:pt idx="140">
                  <c:v>195.99999999999906</c:v>
                </c:pt>
                <c:pt idx="141">
                  <c:v>198.80999999999904</c:v>
                </c:pt>
                <c:pt idx="142">
                  <c:v>201.63999999999902</c:v>
                </c:pt>
                <c:pt idx="143">
                  <c:v>204.48999999999901</c:v>
                </c:pt>
                <c:pt idx="144">
                  <c:v>207.35999999999899</c:v>
                </c:pt>
                <c:pt idx="145">
                  <c:v>210.24999999999898</c:v>
                </c:pt>
                <c:pt idx="146">
                  <c:v>213.15999999999894</c:v>
                </c:pt>
                <c:pt idx="147">
                  <c:v>216.08999999999892</c:v>
                </c:pt>
                <c:pt idx="148">
                  <c:v>219.03999999999891</c:v>
                </c:pt>
                <c:pt idx="149">
                  <c:v>222.00999999999891</c:v>
                </c:pt>
                <c:pt idx="150">
                  <c:v>224.99999999999889</c:v>
                </c:pt>
                <c:pt idx="151">
                  <c:v>228.00999999999885</c:v>
                </c:pt>
                <c:pt idx="152">
                  <c:v>231.03999999999886</c:v>
                </c:pt>
                <c:pt idx="153">
                  <c:v>234.08999999999884</c:v>
                </c:pt>
                <c:pt idx="154">
                  <c:v>237.1599999999988</c:v>
                </c:pt>
                <c:pt idx="155">
                  <c:v>240.24999999999878</c:v>
                </c:pt>
                <c:pt idx="156">
                  <c:v>243.35999999999876</c:v>
                </c:pt>
                <c:pt idx="157">
                  <c:v>246.48999999999876</c:v>
                </c:pt>
                <c:pt idx="158">
                  <c:v>249.63999999999874</c:v>
                </c:pt>
                <c:pt idx="159">
                  <c:v>252.80999999999872</c:v>
                </c:pt>
                <c:pt idx="160">
                  <c:v>255.99999999999869</c:v>
                </c:pt>
                <c:pt idx="161">
                  <c:v>259.20999999999867</c:v>
                </c:pt>
                <c:pt idx="162">
                  <c:v>262.43999999999869</c:v>
                </c:pt>
                <c:pt idx="163">
                  <c:v>265.68999999999875</c:v>
                </c:pt>
                <c:pt idx="164">
                  <c:v>268.95999999999879</c:v>
                </c:pt>
                <c:pt idx="165">
                  <c:v>272.24999999999881</c:v>
                </c:pt>
                <c:pt idx="166">
                  <c:v>275.55999999999887</c:v>
                </c:pt>
                <c:pt idx="167">
                  <c:v>278.88999999999891</c:v>
                </c:pt>
                <c:pt idx="168">
                  <c:v>282.23999999999893</c:v>
                </c:pt>
                <c:pt idx="169">
                  <c:v>285.60999999999899</c:v>
                </c:pt>
                <c:pt idx="170">
                  <c:v>288.99999999999903</c:v>
                </c:pt>
                <c:pt idx="171">
                  <c:v>292.40999999999906</c:v>
                </c:pt>
                <c:pt idx="172">
                  <c:v>295.83999999999912</c:v>
                </c:pt>
                <c:pt idx="173">
                  <c:v>299.28999999999917</c:v>
                </c:pt>
                <c:pt idx="174">
                  <c:v>302.7599999999992</c:v>
                </c:pt>
                <c:pt idx="175">
                  <c:v>306.24999999999926</c:v>
                </c:pt>
                <c:pt idx="176">
                  <c:v>309.75999999999931</c:v>
                </c:pt>
                <c:pt idx="177">
                  <c:v>313.28999999999934</c:v>
                </c:pt>
                <c:pt idx="178">
                  <c:v>316.83999999999941</c:v>
                </c:pt>
                <c:pt idx="179">
                  <c:v>320.40999999999946</c:v>
                </c:pt>
                <c:pt idx="180">
                  <c:v>323.99999999999949</c:v>
                </c:pt>
                <c:pt idx="181">
                  <c:v>327.60999999999956</c:v>
                </c:pt>
                <c:pt idx="182">
                  <c:v>331.23999999999961</c:v>
                </c:pt>
                <c:pt idx="183">
                  <c:v>334.88999999999965</c:v>
                </c:pt>
                <c:pt idx="184">
                  <c:v>338.55999999999966</c:v>
                </c:pt>
                <c:pt idx="185">
                  <c:v>342.24999999999972</c:v>
                </c:pt>
                <c:pt idx="186">
                  <c:v>345.95999999999981</c:v>
                </c:pt>
                <c:pt idx="187">
                  <c:v>349.68999999999983</c:v>
                </c:pt>
                <c:pt idx="188">
                  <c:v>353.43999999999988</c:v>
                </c:pt>
                <c:pt idx="189">
                  <c:v>357.20999999999992</c:v>
                </c:pt>
                <c:pt idx="190">
                  <c:v>361</c:v>
                </c:pt>
                <c:pt idx="191">
                  <c:v>364.81000000000006</c:v>
                </c:pt>
                <c:pt idx="192">
                  <c:v>368.6400000000001</c:v>
                </c:pt>
                <c:pt idx="193">
                  <c:v>372.49000000000018</c:v>
                </c:pt>
                <c:pt idx="194">
                  <c:v>376.36000000000024</c:v>
                </c:pt>
                <c:pt idx="195">
                  <c:v>380.25000000000028</c:v>
                </c:pt>
                <c:pt idx="196">
                  <c:v>384.16000000000031</c:v>
                </c:pt>
                <c:pt idx="197">
                  <c:v>388.09000000000037</c:v>
                </c:pt>
                <c:pt idx="198">
                  <c:v>392.04000000000048</c:v>
                </c:pt>
                <c:pt idx="199">
                  <c:v>396.0100000000005</c:v>
                </c:pt>
                <c:pt idx="200">
                  <c:v>400.00000000000057</c:v>
                </c:pt>
                <c:pt idx="201">
                  <c:v>404.01000000000062</c:v>
                </c:pt>
                <c:pt idx="202">
                  <c:v>408.0400000000007</c:v>
                </c:pt>
                <c:pt idx="203">
                  <c:v>412.09000000000077</c:v>
                </c:pt>
                <c:pt idx="204">
                  <c:v>416.16000000000082</c:v>
                </c:pt>
                <c:pt idx="205">
                  <c:v>420.25000000000085</c:v>
                </c:pt>
                <c:pt idx="206">
                  <c:v>424.36000000000092</c:v>
                </c:pt>
                <c:pt idx="207">
                  <c:v>428.49000000000098</c:v>
                </c:pt>
                <c:pt idx="208">
                  <c:v>432.64000000000107</c:v>
                </c:pt>
                <c:pt idx="209">
                  <c:v>436.81000000000114</c:v>
                </c:pt>
                <c:pt idx="210">
                  <c:v>441.00000000000119</c:v>
                </c:pt>
                <c:pt idx="211">
                  <c:v>445.21000000000129</c:v>
                </c:pt>
                <c:pt idx="212">
                  <c:v>449.44000000000131</c:v>
                </c:pt>
                <c:pt idx="213">
                  <c:v>453.69000000000142</c:v>
                </c:pt>
                <c:pt idx="214">
                  <c:v>457.96000000000146</c:v>
                </c:pt>
                <c:pt idx="215">
                  <c:v>462.25000000000153</c:v>
                </c:pt>
                <c:pt idx="216">
                  <c:v>466.56000000000159</c:v>
                </c:pt>
                <c:pt idx="217">
                  <c:v>470.89000000000169</c:v>
                </c:pt>
                <c:pt idx="218">
                  <c:v>475.24000000000171</c:v>
                </c:pt>
                <c:pt idx="219">
                  <c:v>479.61000000000183</c:v>
                </c:pt>
                <c:pt idx="220">
                  <c:v>484.00000000000188</c:v>
                </c:pt>
                <c:pt idx="221">
                  <c:v>488.41000000000196</c:v>
                </c:pt>
                <c:pt idx="222">
                  <c:v>492.84000000000202</c:v>
                </c:pt>
                <c:pt idx="223">
                  <c:v>497.29000000000207</c:v>
                </c:pt>
                <c:pt idx="224">
                  <c:v>501.76000000000215</c:v>
                </c:pt>
                <c:pt idx="225">
                  <c:v>506.25000000000222</c:v>
                </c:pt>
                <c:pt idx="226">
                  <c:v>510.76000000000232</c:v>
                </c:pt>
                <c:pt idx="227">
                  <c:v>515.29000000000235</c:v>
                </c:pt>
                <c:pt idx="228">
                  <c:v>519.84000000000242</c:v>
                </c:pt>
                <c:pt idx="229">
                  <c:v>524.41000000000258</c:v>
                </c:pt>
                <c:pt idx="230">
                  <c:v>529.00000000000261</c:v>
                </c:pt>
                <c:pt idx="231">
                  <c:v>533.61000000000274</c:v>
                </c:pt>
                <c:pt idx="232">
                  <c:v>538.24000000000274</c:v>
                </c:pt>
                <c:pt idx="233">
                  <c:v>542.89000000000283</c:v>
                </c:pt>
                <c:pt idx="234">
                  <c:v>547.5600000000029</c:v>
                </c:pt>
                <c:pt idx="235">
                  <c:v>552.25000000000296</c:v>
                </c:pt>
                <c:pt idx="236">
                  <c:v>556.96000000000311</c:v>
                </c:pt>
                <c:pt idx="237">
                  <c:v>561.69000000000312</c:v>
                </c:pt>
                <c:pt idx="238">
                  <c:v>566.44000000000324</c:v>
                </c:pt>
                <c:pt idx="239">
                  <c:v>571.21000000000333</c:v>
                </c:pt>
                <c:pt idx="240">
                  <c:v>576.00000000000341</c:v>
                </c:pt>
                <c:pt idx="241">
                  <c:v>580.81000000000347</c:v>
                </c:pt>
                <c:pt idx="242">
                  <c:v>585.64000000000362</c:v>
                </c:pt>
                <c:pt idx="243">
                  <c:v>590.49000000000365</c:v>
                </c:pt>
                <c:pt idx="244">
                  <c:v>595.36000000000377</c:v>
                </c:pt>
                <c:pt idx="245">
                  <c:v>600.25000000000387</c:v>
                </c:pt>
                <c:pt idx="246">
                  <c:v>605.16000000000395</c:v>
                </c:pt>
                <c:pt idx="247">
                  <c:v>610.09000000000401</c:v>
                </c:pt>
                <c:pt idx="248">
                  <c:v>615.04000000000406</c:v>
                </c:pt>
                <c:pt idx="249">
                  <c:v>620.0100000000042</c:v>
                </c:pt>
                <c:pt idx="250">
                  <c:v>625.00000000000432</c:v>
                </c:pt>
                <c:pt idx="251">
                  <c:v>630.01000000000431</c:v>
                </c:pt>
                <c:pt idx="252">
                  <c:v>635.0400000000044</c:v>
                </c:pt>
                <c:pt idx="253">
                  <c:v>640.09000000000458</c:v>
                </c:pt>
                <c:pt idx="254">
                  <c:v>645.16000000000463</c:v>
                </c:pt>
                <c:pt idx="255">
                  <c:v>650.25000000000466</c:v>
                </c:pt>
                <c:pt idx="256">
                  <c:v>655.36000000000479</c:v>
                </c:pt>
                <c:pt idx="257">
                  <c:v>660.4900000000049</c:v>
                </c:pt>
                <c:pt idx="258">
                  <c:v>665.64000000000499</c:v>
                </c:pt>
                <c:pt idx="259">
                  <c:v>670.81000000000506</c:v>
                </c:pt>
                <c:pt idx="260">
                  <c:v>676.00000000000523</c:v>
                </c:pt>
                <c:pt idx="261">
                  <c:v>681.21000000000527</c:v>
                </c:pt>
                <c:pt idx="262">
                  <c:v>686.4400000000054</c:v>
                </c:pt>
                <c:pt idx="263">
                  <c:v>691.69000000000551</c:v>
                </c:pt>
                <c:pt idx="264">
                  <c:v>696.96000000000561</c:v>
                </c:pt>
                <c:pt idx="265">
                  <c:v>702.25000000000568</c:v>
                </c:pt>
                <c:pt idx="266">
                  <c:v>707.56000000000574</c:v>
                </c:pt>
                <c:pt idx="267">
                  <c:v>712.8900000000059</c:v>
                </c:pt>
                <c:pt idx="268">
                  <c:v>718.24000000000592</c:v>
                </c:pt>
                <c:pt idx="269">
                  <c:v>723.61000000000604</c:v>
                </c:pt>
                <c:pt idx="270">
                  <c:v>729.00000000000614</c:v>
                </c:pt>
                <c:pt idx="271">
                  <c:v>734.41000000000622</c:v>
                </c:pt>
                <c:pt idx="272">
                  <c:v>739.84000000000628</c:v>
                </c:pt>
                <c:pt idx="273">
                  <c:v>745.29000000000644</c:v>
                </c:pt>
                <c:pt idx="274">
                  <c:v>750.76000000000658</c:v>
                </c:pt>
                <c:pt idx="275">
                  <c:v>756.25000000000659</c:v>
                </c:pt>
                <c:pt idx="276">
                  <c:v>761.7600000000067</c:v>
                </c:pt>
                <c:pt idx="277">
                  <c:v>767.2900000000069</c:v>
                </c:pt>
                <c:pt idx="278">
                  <c:v>772.84000000000697</c:v>
                </c:pt>
                <c:pt idx="279">
                  <c:v>778.41000000000702</c:v>
                </c:pt>
                <c:pt idx="280">
                  <c:v>784.00000000000716</c:v>
                </c:pt>
                <c:pt idx="281">
                  <c:v>789.61000000000729</c:v>
                </c:pt>
                <c:pt idx="282">
                  <c:v>795.2400000000074</c:v>
                </c:pt>
                <c:pt idx="283">
                  <c:v>800.89000000000749</c:v>
                </c:pt>
                <c:pt idx="284">
                  <c:v>806.56000000000756</c:v>
                </c:pt>
                <c:pt idx="285">
                  <c:v>812.25000000000773</c:v>
                </c:pt>
                <c:pt idx="286">
                  <c:v>817.96000000000777</c:v>
                </c:pt>
                <c:pt idx="287">
                  <c:v>823.6900000000079</c:v>
                </c:pt>
                <c:pt idx="288">
                  <c:v>829.44000000000801</c:v>
                </c:pt>
                <c:pt idx="289">
                  <c:v>835.21000000000811</c:v>
                </c:pt>
                <c:pt idx="290">
                  <c:v>841.00000000000819</c:v>
                </c:pt>
                <c:pt idx="291">
                  <c:v>846.81000000000836</c:v>
                </c:pt>
                <c:pt idx="292">
                  <c:v>852.64000000000851</c:v>
                </c:pt>
                <c:pt idx="293">
                  <c:v>858.49000000000854</c:v>
                </c:pt>
                <c:pt idx="294">
                  <c:v>864.36000000000865</c:v>
                </c:pt>
                <c:pt idx="295">
                  <c:v>870.25000000000875</c:v>
                </c:pt>
                <c:pt idx="296">
                  <c:v>876.16000000000895</c:v>
                </c:pt>
                <c:pt idx="297">
                  <c:v>882.09000000000901</c:v>
                </c:pt>
                <c:pt idx="298">
                  <c:v>888.04000000000917</c:v>
                </c:pt>
                <c:pt idx="299">
                  <c:v>894.01000000000931</c:v>
                </c:pt>
                <c:pt idx="300">
                  <c:v>900.00000000000932</c:v>
                </c:pt>
                <c:pt idx="301">
                  <c:v>906.01000000000954</c:v>
                </c:pt>
                <c:pt idx="302">
                  <c:v>912.04000000000963</c:v>
                </c:pt>
                <c:pt idx="303">
                  <c:v>918.0900000000097</c:v>
                </c:pt>
                <c:pt idx="304">
                  <c:v>924.16000000000986</c:v>
                </c:pt>
                <c:pt idx="305">
                  <c:v>930.25000000001</c:v>
                </c:pt>
                <c:pt idx="306">
                  <c:v>936.36000000001013</c:v>
                </c:pt>
                <c:pt idx="307">
                  <c:v>942.49000000001024</c:v>
                </c:pt>
                <c:pt idx="308">
                  <c:v>948.64000000001033</c:v>
                </c:pt>
                <c:pt idx="309">
                  <c:v>954.8100000000104</c:v>
                </c:pt>
                <c:pt idx="310">
                  <c:v>961.00000000001057</c:v>
                </c:pt>
                <c:pt idx="311">
                  <c:v>967.21000000001072</c:v>
                </c:pt>
                <c:pt idx="312">
                  <c:v>973.44000000001085</c:v>
                </c:pt>
                <c:pt idx="313">
                  <c:v>979.69000000001097</c:v>
                </c:pt>
                <c:pt idx="314">
                  <c:v>985.96000000001106</c:v>
                </c:pt>
                <c:pt idx="315">
                  <c:v>992.25000000001114</c:v>
                </c:pt>
                <c:pt idx="316">
                  <c:v>998.56000000001131</c:v>
                </c:pt>
                <c:pt idx="317">
                  <c:v>1004.8900000000115</c:v>
                </c:pt>
                <c:pt idx="318">
                  <c:v>1011.2400000000116</c:v>
                </c:pt>
                <c:pt idx="319">
                  <c:v>1017.6100000000117</c:v>
                </c:pt>
                <c:pt idx="320">
                  <c:v>1024.0000000000118</c:v>
                </c:pt>
                <c:pt idx="321">
                  <c:v>1030.4100000000119</c:v>
                </c:pt>
                <c:pt idx="322">
                  <c:v>1036.840000000012</c:v>
                </c:pt>
                <c:pt idx="323">
                  <c:v>1043.2900000000122</c:v>
                </c:pt>
                <c:pt idx="324">
                  <c:v>1049.7600000000123</c:v>
                </c:pt>
                <c:pt idx="325">
                  <c:v>1056.2500000000125</c:v>
                </c:pt>
                <c:pt idx="326">
                  <c:v>1062.7600000000125</c:v>
                </c:pt>
                <c:pt idx="327">
                  <c:v>1069.2900000000127</c:v>
                </c:pt>
                <c:pt idx="328">
                  <c:v>1075.8400000000129</c:v>
                </c:pt>
                <c:pt idx="329">
                  <c:v>1082.410000000013</c:v>
                </c:pt>
                <c:pt idx="330">
                  <c:v>1089.0000000000132</c:v>
                </c:pt>
                <c:pt idx="331">
                  <c:v>1095.6100000000133</c:v>
                </c:pt>
                <c:pt idx="332">
                  <c:v>1102.2400000000134</c:v>
                </c:pt>
                <c:pt idx="333">
                  <c:v>1108.8900000000135</c:v>
                </c:pt>
                <c:pt idx="334">
                  <c:v>1115.5600000000136</c:v>
                </c:pt>
                <c:pt idx="335">
                  <c:v>1122.2500000000139</c:v>
                </c:pt>
                <c:pt idx="336">
                  <c:v>1128.9600000000139</c:v>
                </c:pt>
                <c:pt idx="337">
                  <c:v>1135.6900000000142</c:v>
                </c:pt>
                <c:pt idx="338">
                  <c:v>1142.4400000000142</c:v>
                </c:pt>
                <c:pt idx="339">
                  <c:v>1149.2100000000144</c:v>
                </c:pt>
                <c:pt idx="340">
                  <c:v>1156.0000000000146</c:v>
                </c:pt>
                <c:pt idx="341">
                  <c:v>1162.8100000000147</c:v>
                </c:pt>
                <c:pt idx="342">
                  <c:v>1169.6400000000149</c:v>
                </c:pt>
                <c:pt idx="343">
                  <c:v>1176.490000000015</c:v>
                </c:pt>
                <c:pt idx="344">
                  <c:v>1183.3600000000151</c:v>
                </c:pt>
                <c:pt idx="345">
                  <c:v>1190.2500000000152</c:v>
                </c:pt>
                <c:pt idx="346">
                  <c:v>1197.1600000000153</c:v>
                </c:pt>
                <c:pt idx="347">
                  <c:v>1204.0900000000154</c:v>
                </c:pt>
                <c:pt idx="348">
                  <c:v>1211.0400000000157</c:v>
                </c:pt>
                <c:pt idx="349">
                  <c:v>1218.0100000000157</c:v>
                </c:pt>
                <c:pt idx="350">
                  <c:v>1225.0000000000159</c:v>
                </c:pt>
                <c:pt idx="351">
                  <c:v>1232.0100000000161</c:v>
                </c:pt>
                <c:pt idx="352">
                  <c:v>1239.0400000000161</c:v>
                </c:pt>
                <c:pt idx="353">
                  <c:v>1246.0900000000163</c:v>
                </c:pt>
                <c:pt idx="354">
                  <c:v>1253.1600000000165</c:v>
                </c:pt>
                <c:pt idx="355">
                  <c:v>1260.2500000000166</c:v>
                </c:pt>
                <c:pt idx="356">
                  <c:v>1267.3600000000167</c:v>
                </c:pt>
                <c:pt idx="357">
                  <c:v>1274.4900000000168</c:v>
                </c:pt>
                <c:pt idx="358">
                  <c:v>1281.6400000000172</c:v>
                </c:pt>
                <c:pt idx="359">
                  <c:v>1288.8100000000172</c:v>
                </c:pt>
                <c:pt idx="360">
                  <c:v>1296.0000000000173</c:v>
                </c:pt>
                <c:pt idx="361">
                  <c:v>1303.2100000000175</c:v>
                </c:pt>
                <c:pt idx="362">
                  <c:v>1310.4400000000178</c:v>
                </c:pt>
                <c:pt idx="363">
                  <c:v>1317.6900000000178</c:v>
                </c:pt>
                <c:pt idx="364">
                  <c:v>1324.960000000018</c:v>
                </c:pt>
                <c:pt idx="365">
                  <c:v>1332.2500000000182</c:v>
                </c:pt>
                <c:pt idx="366">
                  <c:v>1339.5600000000184</c:v>
                </c:pt>
                <c:pt idx="367">
                  <c:v>1346.8900000000185</c:v>
                </c:pt>
                <c:pt idx="368">
                  <c:v>1354.2400000000187</c:v>
                </c:pt>
                <c:pt idx="369">
                  <c:v>1361.6100000000188</c:v>
                </c:pt>
                <c:pt idx="370">
                  <c:v>1369.0000000000189</c:v>
                </c:pt>
                <c:pt idx="371">
                  <c:v>1376.4100000000192</c:v>
                </c:pt>
                <c:pt idx="372">
                  <c:v>1383.8400000000192</c:v>
                </c:pt>
                <c:pt idx="373">
                  <c:v>1391.2900000000193</c:v>
                </c:pt>
                <c:pt idx="374">
                  <c:v>1398.7600000000195</c:v>
                </c:pt>
                <c:pt idx="375">
                  <c:v>1406.2500000000198</c:v>
                </c:pt>
                <c:pt idx="376">
                  <c:v>1413.7600000000198</c:v>
                </c:pt>
                <c:pt idx="377">
                  <c:v>1421.29000000002</c:v>
                </c:pt>
                <c:pt idx="378">
                  <c:v>1428.8400000000202</c:v>
                </c:pt>
                <c:pt idx="379">
                  <c:v>1436.4100000000203</c:v>
                </c:pt>
                <c:pt idx="380">
                  <c:v>1444.0000000000205</c:v>
                </c:pt>
                <c:pt idx="381">
                  <c:v>1451.6100000000206</c:v>
                </c:pt>
                <c:pt idx="382">
                  <c:v>1459.2400000000209</c:v>
                </c:pt>
                <c:pt idx="383">
                  <c:v>1466.890000000021</c:v>
                </c:pt>
                <c:pt idx="384">
                  <c:v>1474.5600000000211</c:v>
                </c:pt>
                <c:pt idx="385">
                  <c:v>1482.2500000000214</c:v>
                </c:pt>
                <c:pt idx="386">
                  <c:v>1489.9600000000214</c:v>
                </c:pt>
                <c:pt idx="387">
                  <c:v>1497.6900000000217</c:v>
                </c:pt>
                <c:pt idx="388">
                  <c:v>1505.4400000000219</c:v>
                </c:pt>
                <c:pt idx="389">
                  <c:v>1513.2100000000221</c:v>
                </c:pt>
                <c:pt idx="390">
                  <c:v>1521.0000000000223</c:v>
                </c:pt>
                <c:pt idx="391">
                  <c:v>1528.8100000000222</c:v>
                </c:pt>
                <c:pt idx="392">
                  <c:v>1536.6400000000226</c:v>
                </c:pt>
                <c:pt idx="393">
                  <c:v>1544.4900000000227</c:v>
                </c:pt>
                <c:pt idx="394">
                  <c:v>1552.3600000000229</c:v>
                </c:pt>
                <c:pt idx="395">
                  <c:v>1560.250000000023</c:v>
                </c:pt>
                <c:pt idx="396">
                  <c:v>1568.1600000000233</c:v>
                </c:pt>
                <c:pt idx="397">
                  <c:v>1576.0900000000233</c:v>
                </c:pt>
                <c:pt idx="398">
                  <c:v>1584.0400000000236</c:v>
                </c:pt>
                <c:pt idx="399">
                  <c:v>1592.0100000000236</c:v>
                </c:pt>
                <c:pt idx="400">
                  <c:v>1600.0000000000239</c:v>
                </c:pt>
                <c:pt idx="401">
                  <c:v>1608.0100000000241</c:v>
                </c:pt>
                <c:pt idx="402">
                  <c:v>1616.0400000000243</c:v>
                </c:pt>
                <c:pt idx="403">
                  <c:v>1624.0900000000245</c:v>
                </c:pt>
                <c:pt idx="404">
                  <c:v>1632.1600000000246</c:v>
                </c:pt>
                <c:pt idx="405">
                  <c:v>1640.2500000000248</c:v>
                </c:pt>
                <c:pt idx="406">
                  <c:v>1648.3600000000249</c:v>
                </c:pt>
                <c:pt idx="407">
                  <c:v>1656.490000000025</c:v>
                </c:pt>
                <c:pt idx="408">
                  <c:v>1664.6400000000253</c:v>
                </c:pt>
                <c:pt idx="409">
                  <c:v>1672.8100000000254</c:v>
                </c:pt>
                <c:pt idx="410">
                  <c:v>1681.0000000000257</c:v>
                </c:pt>
                <c:pt idx="411">
                  <c:v>1689.2100000000257</c:v>
                </c:pt>
                <c:pt idx="412">
                  <c:v>1697.440000000026</c:v>
                </c:pt>
                <c:pt idx="413">
                  <c:v>1705.6900000000262</c:v>
                </c:pt>
                <c:pt idx="414">
                  <c:v>1713.9600000000264</c:v>
                </c:pt>
                <c:pt idx="415">
                  <c:v>1722.2500000000266</c:v>
                </c:pt>
                <c:pt idx="416">
                  <c:v>1730.5600000000268</c:v>
                </c:pt>
                <c:pt idx="417">
                  <c:v>1738.8900000000269</c:v>
                </c:pt>
                <c:pt idx="418">
                  <c:v>1747.2400000000271</c:v>
                </c:pt>
                <c:pt idx="419">
                  <c:v>1755.6100000000272</c:v>
                </c:pt>
                <c:pt idx="420">
                  <c:v>1764.0000000000275</c:v>
                </c:pt>
                <c:pt idx="421">
                  <c:v>1772.4100000000276</c:v>
                </c:pt>
                <c:pt idx="422">
                  <c:v>1780.8400000000279</c:v>
                </c:pt>
                <c:pt idx="423">
                  <c:v>1789.2900000000279</c:v>
                </c:pt>
                <c:pt idx="424">
                  <c:v>1797.7600000000282</c:v>
                </c:pt>
                <c:pt idx="425">
                  <c:v>1806.2500000000284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F8B-47E1-8B33-C300830FB185}"/>
            </c:ext>
          </c:extLst>
        </c:ser>
        <c:ser>
          <c:idx val="1"/>
          <c:order val="1"/>
          <c:tx>
            <c:strRef>
              <c:f>Plan1!$G$21</c:f>
              <c:strCache>
                <c:ptCount val="1"/>
                <c:pt idx="0">
                  <c:v>dônibus</c:v>
                </c:pt>
              </c:strCache>
            </c:strRef>
          </c:tx>
          <c:marker>
            <c:symbol val="none"/>
          </c:marker>
          <c:trendline>
            <c:trendlineType val="linear"/>
            <c:dispEq val="1"/>
            <c:trendlineLbl>
              <c:layout>
                <c:manualLayout>
                  <c:x val="-4.1534700726183087E-2"/>
                  <c:y val="6.2228851574157645E-3"/>
                </c:manualLayout>
              </c:layout>
              <c:numFmt formatCode="General" sourceLinked="0"/>
            </c:trendlineLbl>
          </c:trendline>
          <c:xVal>
            <c:numRef>
              <c:f>Plan1!$A$22:$A$1722</c:f>
              <c:numCache>
                <c:formatCode>General</c:formatCode>
                <c:ptCount val="17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</c:numCache>
            </c:numRef>
          </c:xVal>
          <c:yVal>
            <c:numRef>
              <c:f>Plan1!$G$22:$G$1722</c:f>
              <c:numCache>
                <c:formatCode>General</c:formatCode>
                <c:ptCount val="1701"/>
                <c:pt idx="0">
                  <c:v>0</c:v>
                </c:pt>
                <c:pt idx="1">
                  <c:v>1.666666666666667</c:v>
                </c:pt>
                <c:pt idx="2">
                  <c:v>3.3333333333333339</c:v>
                </c:pt>
                <c:pt idx="3">
                  <c:v>5.0000000000000009</c:v>
                </c:pt>
                <c:pt idx="4">
                  <c:v>6.6666666666666679</c:v>
                </c:pt>
                <c:pt idx="5">
                  <c:v>8.3333333333333339</c:v>
                </c:pt>
                <c:pt idx="6">
                  <c:v>10</c:v>
                </c:pt>
                <c:pt idx="7">
                  <c:v>11.666666666666666</c:v>
                </c:pt>
                <c:pt idx="8">
                  <c:v>13.333333333333334</c:v>
                </c:pt>
                <c:pt idx="9">
                  <c:v>15</c:v>
                </c:pt>
                <c:pt idx="10">
                  <c:v>16.666666666666664</c:v>
                </c:pt>
                <c:pt idx="11">
                  <c:v>18.333333333333332</c:v>
                </c:pt>
                <c:pt idx="12">
                  <c:v>20</c:v>
                </c:pt>
                <c:pt idx="13">
                  <c:v>21.666666666666668</c:v>
                </c:pt>
                <c:pt idx="14">
                  <c:v>23.333333333333336</c:v>
                </c:pt>
                <c:pt idx="15">
                  <c:v>25.000000000000007</c:v>
                </c:pt>
                <c:pt idx="16">
                  <c:v>26.666666666666675</c:v>
                </c:pt>
                <c:pt idx="17">
                  <c:v>28.333333333333343</c:v>
                </c:pt>
                <c:pt idx="18">
                  <c:v>30.000000000000011</c:v>
                </c:pt>
                <c:pt idx="19">
                  <c:v>31.666666666666679</c:v>
                </c:pt>
                <c:pt idx="20">
                  <c:v>33.333333333333343</c:v>
                </c:pt>
                <c:pt idx="21">
                  <c:v>35.000000000000014</c:v>
                </c:pt>
                <c:pt idx="22">
                  <c:v>36.666666666666679</c:v>
                </c:pt>
                <c:pt idx="23">
                  <c:v>38.33333333333335</c:v>
                </c:pt>
                <c:pt idx="24">
                  <c:v>40.000000000000014</c:v>
                </c:pt>
                <c:pt idx="25">
                  <c:v>41.666666666666686</c:v>
                </c:pt>
                <c:pt idx="26">
                  <c:v>43.33333333333335</c:v>
                </c:pt>
                <c:pt idx="27">
                  <c:v>45.000000000000021</c:v>
                </c:pt>
                <c:pt idx="28">
                  <c:v>46.666666666666693</c:v>
                </c:pt>
                <c:pt idx="29">
                  <c:v>48.333333333333357</c:v>
                </c:pt>
                <c:pt idx="30">
                  <c:v>50.000000000000028</c:v>
                </c:pt>
                <c:pt idx="31">
                  <c:v>51.666666666666693</c:v>
                </c:pt>
                <c:pt idx="32">
                  <c:v>53.333333333333364</c:v>
                </c:pt>
                <c:pt idx="33">
                  <c:v>55.000000000000028</c:v>
                </c:pt>
                <c:pt idx="34">
                  <c:v>56.6666666666667</c:v>
                </c:pt>
                <c:pt idx="35">
                  <c:v>58.333333333333364</c:v>
                </c:pt>
                <c:pt idx="36">
                  <c:v>60.000000000000036</c:v>
                </c:pt>
                <c:pt idx="37">
                  <c:v>61.666666666666707</c:v>
                </c:pt>
                <c:pt idx="38">
                  <c:v>63.333333333333371</c:v>
                </c:pt>
                <c:pt idx="39">
                  <c:v>65.000000000000043</c:v>
                </c:pt>
                <c:pt idx="40">
                  <c:v>66.6666666666667</c:v>
                </c:pt>
                <c:pt idx="41">
                  <c:v>68.333333333333357</c:v>
                </c:pt>
                <c:pt idx="42">
                  <c:v>70.000000000000028</c:v>
                </c:pt>
                <c:pt idx="43">
                  <c:v>71.666666666666686</c:v>
                </c:pt>
                <c:pt idx="44">
                  <c:v>73.333333333333343</c:v>
                </c:pt>
                <c:pt idx="45">
                  <c:v>75</c:v>
                </c:pt>
                <c:pt idx="46">
                  <c:v>76.666666666666671</c:v>
                </c:pt>
                <c:pt idx="47">
                  <c:v>78.333333333333329</c:v>
                </c:pt>
                <c:pt idx="48">
                  <c:v>79.999999999999986</c:v>
                </c:pt>
                <c:pt idx="49">
                  <c:v>81.666666666666643</c:v>
                </c:pt>
                <c:pt idx="50">
                  <c:v>83.333333333333314</c:v>
                </c:pt>
                <c:pt idx="51">
                  <c:v>84.999999999999972</c:v>
                </c:pt>
                <c:pt idx="52">
                  <c:v>86.666666666666629</c:v>
                </c:pt>
                <c:pt idx="53">
                  <c:v>88.333333333333286</c:v>
                </c:pt>
                <c:pt idx="54">
                  <c:v>89.999999999999957</c:v>
                </c:pt>
                <c:pt idx="55">
                  <c:v>91.666666666666615</c:v>
                </c:pt>
                <c:pt idx="56">
                  <c:v>93.333333333333272</c:v>
                </c:pt>
                <c:pt idx="57">
                  <c:v>94.999999999999929</c:v>
                </c:pt>
                <c:pt idx="58">
                  <c:v>96.6666666666666</c:v>
                </c:pt>
                <c:pt idx="59">
                  <c:v>98.333333333333258</c:v>
                </c:pt>
                <c:pt idx="60">
                  <c:v>99.999999999999915</c:v>
                </c:pt>
                <c:pt idx="61">
                  <c:v>101.66666666666659</c:v>
                </c:pt>
                <c:pt idx="62">
                  <c:v>103.33333333333324</c:v>
                </c:pt>
                <c:pt idx="63">
                  <c:v>104.9999999999999</c:v>
                </c:pt>
                <c:pt idx="64">
                  <c:v>106.66666666666656</c:v>
                </c:pt>
                <c:pt idx="65">
                  <c:v>108.33333333333323</c:v>
                </c:pt>
                <c:pt idx="66">
                  <c:v>109.99999999999989</c:v>
                </c:pt>
                <c:pt idx="67">
                  <c:v>111.66666666666654</c:v>
                </c:pt>
                <c:pt idx="68">
                  <c:v>113.3333333333332</c:v>
                </c:pt>
                <c:pt idx="69">
                  <c:v>114.99999999999987</c:v>
                </c:pt>
                <c:pt idx="70">
                  <c:v>116.66666666666653</c:v>
                </c:pt>
                <c:pt idx="71">
                  <c:v>118.33333333333319</c:v>
                </c:pt>
                <c:pt idx="72">
                  <c:v>119.99999999999984</c:v>
                </c:pt>
                <c:pt idx="73">
                  <c:v>121.66666666666652</c:v>
                </c:pt>
                <c:pt idx="74">
                  <c:v>123.33333333333317</c:v>
                </c:pt>
                <c:pt idx="75">
                  <c:v>124.99999999999983</c:v>
                </c:pt>
                <c:pt idx="76">
                  <c:v>126.66666666666649</c:v>
                </c:pt>
                <c:pt idx="77">
                  <c:v>128.33333333333314</c:v>
                </c:pt>
                <c:pt idx="78">
                  <c:v>129.9999999999998</c:v>
                </c:pt>
                <c:pt idx="79">
                  <c:v>131.66666666666649</c:v>
                </c:pt>
                <c:pt idx="80">
                  <c:v>133.33333333333314</c:v>
                </c:pt>
                <c:pt idx="81">
                  <c:v>134.9999999999998</c:v>
                </c:pt>
                <c:pt idx="82">
                  <c:v>136.66666666666646</c:v>
                </c:pt>
                <c:pt idx="83">
                  <c:v>138.33333333333312</c:v>
                </c:pt>
                <c:pt idx="84">
                  <c:v>139.99999999999977</c:v>
                </c:pt>
                <c:pt idx="85">
                  <c:v>141.66666666666643</c:v>
                </c:pt>
                <c:pt idx="86">
                  <c:v>143.33333333333309</c:v>
                </c:pt>
                <c:pt idx="87">
                  <c:v>144.99999999999977</c:v>
                </c:pt>
                <c:pt idx="88">
                  <c:v>146.66666666666643</c:v>
                </c:pt>
                <c:pt idx="89">
                  <c:v>148.33333333333309</c:v>
                </c:pt>
                <c:pt idx="90">
                  <c:v>149.99999999999974</c:v>
                </c:pt>
                <c:pt idx="91">
                  <c:v>151.6666666666664</c:v>
                </c:pt>
                <c:pt idx="92">
                  <c:v>153.33333333333306</c:v>
                </c:pt>
                <c:pt idx="93">
                  <c:v>154.99999999999972</c:v>
                </c:pt>
                <c:pt idx="94">
                  <c:v>156.6666666666664</c:v>
                </c:pt>
                <c:pt idx="95">
                  <c:v>158.33333333333306</c:v>
                </c:pt>
                <c:pt idx="96">
                  <c:v>159.99999999999972</c:v>
                </c:pt>
                <c:pt idx="97">
                  <c:v>161.66666666666637</c:v>
                </c:pt>
                <c:pt idx="98">
                  <c:v>163.33333333333303</c:v>
                </c:pt>
                <c:pt idx="99">
                  <c:v>164.99999999999969</c:v>
                </c:pt>
                <c:pt idx="100">
                  <c:v>166.66666666666634</c:v>
                </c:pt>
                <c:pt idx="101">
                  <c:v>168.333333333333</c:v>
                </c:pt>
                <c:pt idx="102">
                  <c:v>169.99999999999969</c:v>
                </c:pt>
                <c:pt idx="103">
                  <c:v>171.66666666666634</c:v>
                </c:pt>
                <c:pt idx="104">
                  <c:v>173.333333333333</c:v>
                </c:pt>
                <c:pt idx="105">
                  <c:v>174.99999999999966</c:v>
                </c:pt>
                <c:pt idx="106">
                  <c:v>176.66666666666632</c:v>
                </c:pt>
                <c:pt idx="107">
                  <c:v>178.33333333333297</c:v>
                </c:pt>
                <c:pt idx="108">
                  <c:v>179.99999999999963</c:v>
                </c:pt>
                <c:pt idx="109">
                  <c:v>181.66666666666629</c:v>
                </c:pt>
                <c:pt idx="110">
                  <c:v>183.33333333333297</c:v>
                </c:pt>
                <c:pt idx="111">
                  <c:v>184.99999999999963</c:v>
                </c:pt>
                <c:pt idx="112">
                  <c:v>186.66666666666629</c:v>
                </c:pt>
                <c:pt idx="113">
                  <c:v>188.33333333333294</c:v>
                </c:pt>
                <c:pt idx="114">
                  <c:v>189.9999999999996</c:v>
                </c:pt>
                <c:pt idx="115">
                  <c:v>191.66666666666626</c:v>
                </c:pt>
                <c:pt idx="116">
                  <c:v>193.33333333333292</c:v>
                </c:pt>
                <c:pt idx="117">
                  <c:v>194.99999999999957</c:v>
                </c:pt>
                <c:pt idx="118">
                  <c:v>196.66666666666626</c:v>
                </c:pt>
                <c:pt idx="119">
                  <c:v>198.33333333333292</c:v>
                </c:pt>
                <c:pt idx="120">
                  <c:v>199.99999999999957</c:v>
                </c:pt>
                <c:pt idx="121">
                  <c:v>201.66666666666623</c:v>
                </c:pt>
                <c:pt idx="122">
                  <c:v>203.33333333333289</c:v>
                </c:pt>
                <c:pt idx="123">
                  <c:v>204.99999999999955</c:v>
                </c:pt>
                <c:pt idx="124">
                  <c:v>206.6666666666662</c:v>
                </c:pt>
                <c:pt idx="125">
                  <c:v>208.33333333333289</c:v>
                </c:pt>
                <c:pt idx="126">
                  <c:v>209.99999999999955</c:v>
                </c:pt>
                <c:pt idx="127">
                  <c:v>211.6666666666662</c:v>
                </c:pt>
                <c:pt idx="128">
                  <c:v>213.33333333333286</c:v>
                </c:pt>
                <c:pt idx="129">
                  <c:v>214.99999999999952</c:v>
                </c:pt>
                <c:pt idx="130">
                  <c:v>216.66666666666617</c:v>
                </c:pt>
                <c:pt idx="131">
                  <c:v>218.33333333333283</c:v>
                </c:pt>
                <c:pt idx="132">
                  <c:v>219.99999999999949</c:v>
                </c:pt>
                <c:pt idx="133">
                  <c:v>221.66666666666617</c:v>
                </c:pt>
                <c:pt idx="134">
                  <c:v>223.33333333333283</c:v>
                </c:pt>
                <c:pt idx="135">
                  <c:v>224.99999999999949</c:v>
                </c:pt>
                <c:pt idx="136">
                  <c:v>226.66666666666615</c:v>
                </c:pt>
                <c:pt idx="137">
                  <c:v>228.3333333333328</c:v>
                </c:pt>
                <c:pt idx="138">
                  <c:v>229.99999999999946</c:v>
                </c:pt>
                <c:pt idx="139">
                  <c:v>231.66666666666612</c:v>
                </c:pt>
                <c:pt idx="140">
                  <c:v>233.33333333333277</c:v>
                </c:pt>
                <c:pt idx="141">
                  <c:v>234.99999999999946</c:v>
                </c:pt>
                <c:pt idx="142">
                  <c:v>236.66666666666612</c:v>
                </c:pt>
                <c:pt idx="143">
                  <c:v>238.33333333333277</c:v>
                </c:pt>
                <c:pt idx="144">
                  <c:v>239.99999999999943</c:v>
                </c:pt>
                <c:pt idx="145">
                  <c:v>241.66666666666609</c:v>
                </c:pt>
                <c:pt idx="146">
                  <c:v>243.33333333333275</c:v>
                </c:pt>
                <c:pt idx="147">
                  <c:v>244.9999999999994</c:v>
                </c:pt>
                <c:pt idx="148">
                  <c:v>246.66666666666606</c:v>
                </c:pt>
                <c:pt idx="149">
                  <c:v>248.33333333333275</c:v>
                </c:pt>
                <c:pt idx="150">
                  <c:v>249.9999999999994</c:v>
                </c:pt>
                <c:pt idx="151">
                  <c:v>251.66666666666606</c:v>
                </c:pt>
                <c:pt idx="152">
                  <c:v>253.33333333333272</c:v>
                </c:pt>
                <c:pt idx="153">
                  <c:v>254.99999999999937</c:v>
                </c:pt>
                <c:pt idx="154">
                  <c:v>256.66666666666606</c:v>
                </c:pt>
                <c:pt idx="155">
                  <c:v>258.33333333333269</c:v>
                </c:pt>
                <c:pt idx="156">
                  <c:v>259.99999999999937</c:v>
                </c:pt>
                <c:pt idx="157">
                  <c:v>261.666666666666</c:v>
                </c:pt>
                <c:pt idx="158">
                  <c:v>263.33333333333269</c:v>
                </c:pt>
                <c:pt idx="159">
                  <c:v>264.99999999999932</c:v>
                </c:pt>
                <c:pt idx="160">
                  <c:v>266.666666666666</c:v>
                </c:pt>
                <c:pt idx="161">
                  <c:v>268.33333333333269</c:v>
                </c:pt>
                <c:pt idx="162">
                  <c:v>269.99999999999937</c:v>
                </c:pt>
                <c:pt idx="163">
                  <c:v>271.66666666666606</c:v>
                </c:pt>
                <c:pt idx="164">
                  <c:v>273.33333333333275</c:v>
                </c:pt>
                <c:pt idx="165">
                  <c:v>274.99999999999943</c:v>
                </c:pt>
                <c:pt idx="166">
                  <c:v>276.66666666666612</c:v>
                </c:pt>
                <c:pt idx="167">
                  <c:v>278.3333333333328</c:v>
                </c:pt>
                <c:pt idx="168">
                  <c:v>279.99999999999949</c:v>
                </c:pt>
                <c:pt idx="169">
                  <c:v>281.66666666666617</c:v>
                </c:pt>
                <c:pt idx="170">
                  <c:v>283.33333333333286</c:v>
                </c:pt>
                <c:pt idx="171">
                  <c:v>284.99999999999955</c:v>
                </c:pt>
                <c:pt idx="172">
                  <c:v>286.66666666666629</c:v>
                </c:pt>
                <c:pt idx="173">
                  <c:v>288.33333333333297</c:v>
                </c:pt>
                <c:pt idx="174">
                  <c:v>289.99999999999966</c:v>
                </c:pt>
                <c:pt idx="175">
                  <c:v>291.66666666666634</c:v>
                </c:pt>
                <c:pt idx="176">
                  <c:v>293.33333333333303</c:v>
                </c:pt>
                <c:pt idx="177">
                  <c:v>294.99999999999972</c:v>
                </c:pt>
                <c:pt idx="178">
                  <c:v>296.6666666666664</c:v>
                </c:pt>
                <c:pt idx="179">
                  <c:v>298.33333333333309</c:v>
                </c:pt>
                <c:pt idx="180">
                  <c:v>299.99999999999977</c:v>
                </c:pt>
                <c:pt idx="181">
                  <c:v>301.66666666666646</c:v>
                </c:pt>
                <c:pt idx="182">
                  <c:v>303.33333333333314</c:v>
                </c:pt>
                <c:pt idx="183">
                  <c:v>304.99999999999983</c:v>
                </c:pt>
                <c:pt idx="184">
                  <c:v>306.66666666666657</c:v>
                </c:pt>
                <c:pt idx="185">
                  <c:v>308.33333333333326</c:v>
                </c:pt>
                <c:pt idx="186">
                  <c:v>309.99999999999994</c:v>
                </c:pt>
                <c:pt idx="187">
                  <c:v>311.66666666666663</c:v>
                </c:pt>
                <c:pt idx="188">
                  <c:v>313.33333333333331</c:v>
                </c:pt>
                <c:pt idx="189">
                  <c:v>315</c:v>
                </c:pt>
                <c:pt idx="190">
                  <c:v>316.66666666666669</c:v>
                </c:pt>
                <c:pt idx="191">
                  <c:v>318.33333333333337</c:v>
                </c:pt>
                <c:pt idx="192">
                  <c:v>320.00000000000006</c:v>
                </c:pt>
                <c:pt idx="193">
                  <c:v>321.66666666666674</c:v>
                </c:pt>
                <c:pt idx="194">
                  <c:v>323.33333333333343</c:v>
                </c:pt>
                <c:pt idx="195">
                  <c:v>325.00000000000011</c:v>
                </c:pt>
                <c:pt idx="196">
                  <c:v>326.66666666666686</c:v>
                </c:pt>
                <c:pt idx="197">
                  <c:v>328.33333333333354</c:v>
                </c:pt>
                <c:pt idx="198">
                  <c:v>330.00000000000023</c:v>
                </c:pt>
                <c:pt idx="199">
                  <c:v>331.66666666666691</c:v>
                </c:pt>
                <c:pt idx="200">
                  <c:v>333.3333333333336</c:v>
                </c:pt>
                <c:pt idx="201">
                  <c:v>335.00000000000028</c:v>
                </c:pt>
                <c:pt idx="202">
                  <c:v>336.66666666666697</c:v>
                </c:pt>
                <c:pt idx="203">
                  <c:v>338.33333333333366</c:v>
                </c:pt>
                <c:pt idx="204">
                  <c:v>340.00000000000034</c:v>
                </c:pt>
                <c:pt idx="205">
                  <c:v>341.66666666666703</c:v>
                </c:pt>
                <c:pt idx="206">
                  <c:v>343.33333333333371</c:v>
                </c:pt>
                <c:pt idx="207">
                  <c:v>345.00000000000045</c:v>
                </c:pt>
                <c:pt idx="208">
                  <c:v>346.66666666666714</c:v>
                </c:pt>
                <c:pt idx="209">
                  <c:v>348.33333333333383</c:v>
                </c:pt>
                <c:pt idx="210">
                  <c:v>350.00000000000051</c:v>
                </c:pt>
                <c:pt idx="211">
                  <c:v>351.6666666666672</c:v>
                </c:pt>
                <c:pt idx="212">
                  <c:v>353.33333333333388</c:v>
                </c:pt>
                <c:pt idx="213">
                  <c:v>355.00000000000057</c:v>
                </c:pt>
                <c:pt idx="214">
                  <c:v>356.66666666666725</c:v>
                </c:pt>
                <c:pt idx="215">
                  <c:v>358.33333333333394</c:v>
                </c:pt>
                <c:pt idx="216">
                  <c:v>360.00000000000063</c:v>
                </c:pt>
                <c:pt idx="217">
                  <c:v>361.66666666666731</c:v>
                </c:pt>
                <c:pt idx="218">
                  <c:v>363.333333333334</c:v>
                </c:pt>
                <c:pt idx="219">
                  <c:v>365.00000000000074</c:v>
                </c:pt>
                <c:pt idx="220">
                  <c:v>366.66666666666742</c:v>
                </c:pt>
                <c:pt idx="221">
                  <c:v>368.33333333333411</c:v>
                </c:pt>
                <c:pt idx="222">
                  <c:v>370.0000000000008</c:v>
                </c:pt>
                <c:pt idx="223">
                  <c:v>371.66666666666748</c:v>
                </c:pt>
                <c:pt idx="224">
                  <c:v>373.33333333333417</c:v>
                </c:pt>
                <c:pt idx="225">
                  <c:v>375.00000000000085</c:v>
                </c:pt>
                <c:pt idx="226">
                  <c:v>376.66666666666754</c:v>
                </c:pt>
                <c:pt idx="227">
                  <c:v>378.33333333333422</c:v>
                </c:pt>
                <c:pt idx="228">
                  <c:v>380.00000000000091</c:v>
                </c:pt>
                <c:pt idx="229">
                  <c:v>381.6666666666676</c:v>
                </c:pt>
                <c:pt idx="230">
                  <c:v>383.33333333333428</c:v>
                </c:pt>
                <c:pt idx="231">
                  <c:v>385.00000000000102</c:v>
                </c:pt>
                <c:pt idx="232">
                  <c:v>386.66666666666771</c:v>
                </c:pt>
                <c:pt idx="233">
                  <c:v>388.33333333333439</c:v>
                </c:pt>
                <c:pt idx="234">
                  <c:v>390.00000000000108</c:v>
                </c:pt>
                <c:pt idx="235">
                  <c:v>391.66666666666777</c:v>
                </c:pt>
                <c:pt idx="236">
                  <c:v>393.33333333333445</c:v>
                </c:pt>
                <c:pt idx="237">
                  <c:v>395.00000000000114</c:v>
                </c:pt>
                <c:pt idx="238">
                  <c:v>396.66666666666782</c:v>
                </c:pt>
                <c:pt idx="239">
                  <c:v>398.33333333333451</c:v>
                </c:pt>
                <c:pt idx="240">
                  <c:v>400.00000000000119</c:v>
                </c:pt>
                <c:pt idx="241">
                  <c:v>401.66666666666788</c:v>
                </c:pt>
                <c:pt idx="242">
                  <c:v>403.33333333333462</c:v>
                </c:pt>
                <c:pt idx="243">
                  <c:v>405.00000000000131</c:v>
                </c:pt>
                <c:pt idx="244">
                  <c:v>406.66666666666799</c:v>
                </c:pt>
                <c:pt idx="245">
                  <c:v>408.33333333333468</c:v>
                </c:pt>
                <c:pt idx="246">
                  <c:v>410.00000000000136</c:v>
                </c:pt>
                <c:pt idx="247">
                  <c:v>411.66666666666805</c:v>
                </c:pt>
                <c:pt idx="248">
                  <c:v>413.33333333333474</c:v>
                </c:pt>
                <c:pt idx="249">
                  <c:v>415.00000000000142</c:v>
                </c:pt>
                <c:pt idx="250">
                  <c:v>416.66666666666811</c:v>
                </c:pt>
                <c:pt idx="251">
                  <c:v>418.33333333333479</c:v>
                </c:pt>
                <c:pt idx="252">
                  <c:v>420.00000000000148</c:v>
                </c:pt>
                <c:pt idx="253">
                  <c:v>421.66666666666816</c:v>
                </c:pt>
                <c:pt idx="254">
                  <c:v>423.33333333333491</c:v>
                </c:pt>
                <c:pt idx="255">
                  <c:v>425.00000000000159</c:v>
                </c:pt>
                <c:pt idx="256">
                  <c:v>426.66666666666828</c:v>
                </c:pt>
                <c:pt idx="257">
                  <c:v>428.33333333333496</c:v>
                </c:pt>
                <c:pt idx="258">
                  <c:v>430.00000000000165</c:v>
                </c:pt>
                <c:pt idx="259">
                  <c:v>431.66666666666833</c:v>
                </c:pt>
                <c:pt idx="260">
                  <c:v>433.33333333333502</c:v>
                </c:pt>
                <c:pt idx="261">
                  <c:v>435.00000000000171</c:v>
                </c:pt>
                <c:pt idx="262">
                  <c:v>436.66666666666839</c:v>
                </c:pt>
                <c:pt idx="263">
                  <c:v>438.33333333333508</c:v>
                </c:pt>
                <c:pt idx="264">
                  <c:v>440.00000000000176</c:v>
                </c:pt>
                <c:pt idx="265">
                  <c:v>441.66666666666845</c:v>
                </c:pt>
                <c:pt idx="266">
                  <c:v>443.33333333333519</c:v>
                </c:pt>
                <c:pt idx="267">
                  <c:v>445.00000000000188</c:v>
                </c:pt>
                <c:pt idx="268">
                  <c:v>446.66666666666856</c:v>
                </c:pt>
                <c:pt idx="269">
                  <c:v>448.33333333333525</c:v>
                </c:pt>
                <c:pt idx="270">
                  <c:v>450.00000000000193</c:v>
                </c:pt>
                <c:pt idx="271">
                  <c:v>451.66666666666862</c:v>
                </c:pt>
                <c:pt idx="272">
                  <c:v>453.3333333333353</c:v>
                </c:pt>
                <c:pt idx="273">
                  <c:v>455.00000000000199</c:v>
                </c:pt>
                <c:pt idx="274">
                  <c:v>456.66666666666868</c:v>
                </c:pt>
                <c:pt idx="275">
                  <c:v>458.33333333333536</c:v>
                </c:pt>
                <c:pt idx="276">
                  <c:v>460.00000000000205</c:v>
                </c:pt>
                <c:pt idx="277">
                  <c:v>461.66666666666873</c:v>
                </c:pt>
                <c:pt idx="278">
                  <c:v>463.33333333333547</c:v>
                </c:pt>
                <c:pt idx="279">
                  <c:v>465.00000000000216</c:v>
                </c:pt>
                <c:pt idx="280">
                  <c:v>466.66666666666885</c:v>
                </c:pt>
                <c:pt idx="281">
                  <c:v>468.33333333333553</c:v>
                </c:pt>
                <c:pt idx="282">
                  <c:v>470.00000000000222</c:v>
                </c:pt>
                <c:pt idx="283">
                  <c:v>471.6666666666689</c:v>
                </c:pt>
                <c:pt idx="284">
                  <c:v>473.33333333333559</c:v>
                </c:pt>
                <c:pt idx="285">
                  <c:v>475.00000000000227</c:v>
                </c:pt>
                <c:pt idx="286">
                  <c:v>476.66666666666896</c:v>
                </c:pt>
                <c:pt idx="287">
                  <c:v>478.33333333333564</c:v>
                </c:pt>
                <c:pt idx="288">
                  <c:v>480.00000000000233</c:v>
                </c:pt>
                <c:pt idx="289">
                  <c:v>481.66666666666907</c:v>
                </c:pt>
                <c:pt idx="290">
                  <c:v>483.33333333333576</c:v>
                </c:pt>
                <c:pt idx="291">
                  <c:v>485.00000000000244</c:v>
                </c:pt>
                <c:pt idx="292">
                  <c:v>486.66666666666913</c:v>
                </c:pt>
                <c:pt idx="293">
                  <c:v>488.33333333333582</c:v>
                </c:pt>
                <c:pt idx="294">
                  <c:v>490.0000000000025</c:v>
                </c:pt>
                <c:pt idx="295">
                  <c:v>491.66666666666919</c:v>
                </c:pt>
                <c:pt idx="296">
                  <c:v>493.33333333333587</c:v>
                </c:pt>
                <c:pt idx="297">
                  <c:v>495.00000000000256</c:v>
                </c:pt>
                <c:pt idx="298">
                  <c:v>496.66666666666924</c:v>
                </c:pt>
                <c:pt idx="299">
                  <c:v>498.33333333333593</c:v>
                </c:pt>
                <c:pt idx="300">
                  <c:v>500.00000000000261</c:v>
                </c:pt>
                <c:pt idx="301">
                  <c:v>501.66666666666936</c:v>
                </c:pt>
                <c:pt idx="302">
                  <c:v>503.33333333333604</c:v>
                </c:pt>
                <c:pt idx="303">
                  <c:v>505.00000000000273</c:v>
                </c:pt>
                <c:pt idx="304">
                  <c:v>506.66666666666941</c:v>
                </c:pt>
                <c:pt idx="305">
                  <c:v>508.3333333333361</c:v>
                </c:pt>
                <c:pt idx="306">
                  <c:v>510.00000000000279</c:v>
                </c:pt>
                <c:pt idx="307">
                  <c:v>511.66666666666947</c:v>
                </c:pt>
                <c:pt idx="308">
                  <c:v>513.33333333333621</c:v>
                </c:pt>
                <c:pt idx="309">
                  <c:v>515.00000000000284</c:v>
                </c:pt>
                <c:pt idx="310">
                  <c:v>516.66666666666958</c:v>
                </c:pt>
                <c:pt idx="311">
                  <c:v>518.33333333333621</c:v>
                </c:pt>
                <c:pt idx="312">
                  <c:v>520.00000000000296</c:v>
                </c:pt>
                <c:pt idx="313">
                  <c:v>521.66666666666958</c:v>
                </c:pt>
                <c:pt idx="314">
                  <c:v>523.33333333333633</c:v>
                </c:pt>
                <c:pt idx="315">
                  <c:v>525.00000000000296</c:v>
                </c:pt>
                <c:pt idx="316">
                  <c:v>526.6666666666697</c:v>
                </c:pt>
                <c:pt idx="317">
                  <c:v>528.33333333333633</c:v>
                </c:pt>
                <c:pt idx="318">
                  <c:v>530.00000000000307</c:v>
                </c:pt>
                <c:pt idx="319">
                  <c:v>531.66666666666981</c:v>
                </c:pt>
                <c:pt idx="320">
                  <c:v>533.33333333333644</c:v>
                </c:pt>
                <c:pt idx="321">
                  <c:v>535.00000000000318</c:v>
                </c:pt>
                <c:pt idx="322">
                  <c:v>536.66666666666981</c:v>
                </c:pt>
                <c:pt idx="323">
                  <c:v>538.33333333333655</c:v>
                </c:pt>
                <c:pt idx="324">
                  <c:v>540.00000000000318</c:v>
                </c:pt>
                <c:pt idx="325">
                  <c:v>541.66666666666993</c:v>
                </c:pt>
                <c:pt idx="326">
                  <c:v>543.33333333333655</c:v>
                </c:pt>
                <c:pt idx="327">
                  <c:v>545.0000000000033</c:v>
                </c:pt>
                <c:pt idx="328">
                  <c:v>546.66666666666993</c:v>
                </c:pt>
                <c:pt idx="329">
                  <c:v>548.33333333333667</c:v>
                </c:pt>
                <c:pt idx="330">
                  <c:v>550.00000000000341</c:v>
                </c:pt>
                <c:pt idx="331">
                  <c:v>551.66666666667004</c:v>
                </c:pt>
                <c:pt idx="332">
                  <c:v>553.33333333333678</c:v>
                </c:pt>
                <c:pt idx="333">
                  <c:v>555.00000000000341</c:v>
                </c:pt>
                <c:pt idx="334">
                  <c:v>556.66666666667015</c:v>
                </c:pt>
                <c:pt idx="335">
                  <c:v>558.33333333333678</c:v>
                </c:pt>
                <c:pt idx="336">
                  <c:v>560.00000000000352</c:v>
                </c:pt>
                <c:pt idx="337">
                  <c:v>561.66666666667015</c:v>
                </c:pt>
                <c:pt idx="338">
                  <c:v>563.3333333333369</c:v>
                </c:pt>
                <c:pt idx="339">
                  <c:v>565.00000000000352</c:v>
                </c:pt>
                <c:pt idx="340">
                  <c:v>566.66666666667027</c:v>
                </c:pt>
                <c:pt idx="341">
                  <c:v>568.3333333333369</c:v>
                </c:pt>
                <c:pt idx="342">
                  <c:v>570.00000000000364</c:v>
                </c:pt>
                <c:pt idx="343">
                  <c:v>571.66666666667038</c:v>
                </c:pt>
                <c:pt idx="344">
                  <c:v>573.33333333333701</c:v>
                </c:pt>
                <c:pt idx="345">
                  <c:v>575.00000000000375</c:v>
                </c:pt>
                <c:pt idx="346">
                  <c:v>576.66666666667038</c:v>
                </c:pt>
                <c:pt idx="347">
                  <c:v>578.33333333333712</c:v>
                </c:pt>
                <c:pt idx="348">
                  <c:v>580.00000000000375</c:v>
                </c:pt>
                <c:pt idx="349">
                  <c:v>581.66666666667049</c:v>
                </c:pt>
                <c:pt idx="350">
                  <c:v>583.33333333333712</c:v>
                </c:pt>
                <c:pt idx="351">
                  <c:v>585.00000000000387</c:v>
                </c:pt>
                <c:pt idx="352">
                  <c:v>586.66666666667049</c:v>
                </c:pt>
                <c:pt idx="353">
                  <c:v>588.33333333333724</c:v>
                </c:pt>
                <c:pt idx="354">
                  <c:v>590.00000000000398</c:v>
                </c:pt>
                <c:pt idx="355">
                  <c:v>591.66666666667061</c:v>
                </c:pt>
                <c:pt idx="356">
                  <c:v>593.33333333333735</c:v>
                </c:pt>
                <c:pt idx="357">
                  <c:v>595.00000000000398</c:v>
                </c:pt>
                <c:pt idx="358">
                  <c:v>596.66666666667072</c:v>
                </c:pt>
                <c:pt idx="359">
                  <c:v>598.33333333333735</c:v>
                </c:pt>
                <c:pt idx="360">
                  <c:v>600.00000000000409</c:v>
                </c:pt>
                <c:pt idx="361">
                  <c:v>601.66666666667072</c:v>
                </c:pt>
                <c:pt idx="362">
                  <c:v>603.33333333333746</c:v>
                </c:pt>
                <c:pt idx="363">
                  <c:v>605.00000000000409</c:v>
                </c:pt>
                <c:pt idx="364">
                  <c:v>606.66666666667084</c:v>
                </c:pt>
                <c:pt idx="365">
                  <c:v>608.33333333333758</c:v>
                </c:pt>
                <c:pt idx="366">
                  <c:v>610.00000000000421</c:v>
                </c:pt>
                <c:pt idx="367">
                  <c:v>611.66666666667095</c:v>
                </c:pt>
                <c:pt idx="368">
                  <c:v>613.33333333333758</c:v>
                </c:pt>
                <c:pt idx="369">
                  <c:v>615.00000000000432</c:v>
                </c:pt>
                <c:pt idx="370">
                  <c:v>616.66666666667095</c:v>
                </c:pt>
                <c:pt idx="371">
                  <c:v>618.33333333333769</c:v>
                </c:pt>
                <c:pt idx="372">
                  <c:v>620.00000000000432</c:v>
                </c:pt>
                <c:pt idx="373">
                  <c:v>621.66666666667106</c:v>
                </c:pt>
                <c:pt idx="374">
                  <c:v>623.33333333333769</c:v>
                </c:pt>
                <c:pt idx="375">
                  <c:v>625.00000000000443</c:v>
                </c:pt>
                <c:pt idx="376">
                  <c:v>626.66666666667106</c:v>
                </c:pt>
                <c:pt idx="377">
                  <c:v>628.33333333333781</c:v>
                </c:pt>
                <c:pt idx="378">
                  <c:v>630.00000000000455</c:v>
                </c:pt>
                <c:pt idx="379">
                  <c:v>631.66666666667118</c:v>
                </c:pt>
                <c:pt idx="380">
                  <c:v>633.33333333333792</c:v>
                </c:pt>
                <c:pt idx="381">
                  <c:v>635.00000000000455</c:v>
                </c:pt>
                <c:pt idx="382">
                  <c:v>636.66666666667129</c:v>
                </c:pt>
                <c:pt idx="383">
                  <c:v>638.33333333333792</c:v>
                </c:pt>
                <c:pt idx="384">
                  <c:v>640.00000000000466</c:v>
                </c:pt>
                <c:pt idx="385">
                  <c:v>641.66666666667129</c:v>
                </c:pt>
                <c:pt idx="386">
                  <c:v>643.33333333333803</c:v>
                </c:pt>
                <c:pt idx="387">
                  <c:v>645.00000000000466</c:v>
                </c:pt>
                <c:pt idx="388">
                  <c:v>646.6666666666714</c:v>
                </c:pt>
                <c:pt idx="389">
                  <c:v>648.33333333333815</c:v>
                </c:pt>
                <c:pt idx="390">
                  <c:v>650.00000000000477</c:v>
                </c:pt>
                <c:pt idx="391">
                  <c:v>651.66666666667152</c:v>
                </c:pt>
                <c:pt idx="392">
                  <c:v>653.33333333333815</c:v>
                </c:pt>
                <c:pt idx="393">
                  <c:v>655.00000000000489</c:v>
                </c:pt>
                <c:pt idx="394">
                  <c:v>656.66666666667152</c:v>
                </c:pt>
                <c:pt idx="395">
                  <c:v>658.33333333333826</c:v>
                </c:pt>
                <c:pt idx="396">
                  <c:v>660.00000000000489</c:v>
                </c:pt>
                <c:pt idx="397">
                  <c:v>661.66666666667163</c:v>
                </c:pt>
                <c:pt idx="398">
                  <c:v>663.33333333333826</c:v>
                </c:pt>
                <c:pt idx="399">
                  <c:v>665.000000000005</c:v>
                </c:pt>
                <c:pt idx="400">
                  <c:v>666.66666666667174</c:v>
                </c:pt>
                <c:pt idx="401">
                  <c:v>668.33333333333837</c:v>
                </c:pt>
                <c:pt idx="402">
                  <c:v>670.00000000000512</c:v>
                </c:pt>
                <c:pt idx="403">
                  <c:v>671.66666666667174</c:v>
                </c:pt>
                <c:pt idx="404">
                  <c:v>673.33333333333849</c:v>
                </c:pt>
                <c:pt idx="405">
                  <c:v>675.00000000000512</c:v>
                </c:pt>
                <c:pt idx="406">
                  <c:v>676.66666666667186</c:v>
                </c:pt>
                <c:pt idx="407">
                  <c:v>678.33333333333849</c:v>
                </c:pt>
                <c:pt idx="408">
                  <c:v>680.00000000000523</c:v>
                </c:pt>
                <c:pt idx="409">
                  <c:v>681.66666666667186</c:v>
                </c:pt>
                <c:pt idx="410">
                  <c:v>683.3333333333386</c:v>
                </c:pt>
                <c:pt idx="411">
                  <c:v>685.00000000000523</c:v>
                </c:pt>
                <c:pt idx="412">
                  <c:v>686.66666666667197</c:v>
                </c:pt>
                <c:pt idx="413">
                  <c:v>688.33333333333871</c:v>
                </c:pt>
                <c:pt idx="414">
                  <c:v>690.00000000000534</c:v>
                </c:pt>
                <c:pt idx="415">
                  <c:v>691.66666666667209</c:v>
                </c:pt>
                <c:pt idx="416">
                  <c:v>693.33333333333871</c:v>
                </c:pt>
                <c:pt idx="417">
                  <c:v>695.00000000000546</c:v>
                </c:pt>
                <c:pt idx="418">
                  <c:v>696.66666666667209</c:v>
                </c:pt>
                <c:pt idx="419">
                  <c:v>698.33333333333883</c:v>
                </c:pt>
                <c:pt idx="420">
                  <c:v>700.00000000000546</c:v>
                </c:pt>
                <c:pt idx="421">
                  <c:v>701.6666666666722</c:v>
                </c:pt>
                <c:pt idx="422">
                  <c:v>703.33333333333883</c:v>
                </c:pt>
                <c:pt idx="423">
                  <c:v>705.00000000000557</c:v>
                </c:pt>
                <c:pt idx="424">
                  <c:v>706.66666666667231</c:v>
                </c:pt>
                <c:pt idx="425">
                  <c:v>708.33333333333894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F8B-47E1-8B33-C300830FB185}"/>
            </c:ext>
          </c:extLst>
        </c:ser>
        <c:axId val="64673280"/>
        <c:axId val="64675200"/>
      </c:scatterChart>
      <c:valAx>
        <c:axId val="64673280"/>
        <c:scaling>
          <c:orientation val="minMax"/>
          <c:max val="2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tempo</a:t>
                </a:r>
              </a:p>
            </c:rich>
          </c:tx>
        </c:title>
        <c:numFmt formatCode="General" sourceLinked="1"/>
        <c:tickLblPos val="nextTo"/>
        <c:crossAx val="64675200"/>
        <c:crosses val="autoZero"/>
        <c:crossBetween val="midCat"/>
      </c:valAx>
      <c:valAx>
        <c:axId val="64675200"/>
        <c:scaling>
          <c:orientation val="minMax"/>
          <c:max val="400"/>
        </c:scaling>
        <c:axPos val="l"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posição</a:t>
                </a:r>
              </a:p>
            </c:rich>
          </c:tx>
        </c:title>
        <c:numFmt formatCode="General" sourceLinked="1"/>
        <c:tickLblPos val="nextTo"/>
        <c:crossAx val="6467328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8740157499999996" l="0.511811024" r="0.511811024" t="0.78740157499999996" header="0.31496062000000064" footer="0.3149606200000006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smoothMarker"/>
        <c:ser>
          <c:idx val="1"/>
          <c:order val="0"/>
          <c:tx>
            <c:strRef>
              <c:f>Plan1!$D$21</c:f>
              <c:strCache>
                <c:ptCount val="1"/>
                <c:pt idx="0">
                  <c:v>Vautomóvel</c:v>
                </c:pt>
              </c:strCache>
            </c:strRef>
          </c:tx>
          <c:marker>
            <c:symbol val="none"/>
          </c:marker>
          <c:yVal>
            <c:numRef>
              <c:f>Plan1!$D$22:$D$447</c:f>
              <c:numCache>
                <c:formatCode>General</c:formatCode>
                <c:ptCount val="426"/>
                <c:pt idx="1">
                  <c:v>0.10000000000000002</c:v>
                </c:pt>
                <c:pt idx="2">
                  <c:v>0.30000000000000004</c:v>
                </c:pt>
                <c:pt idx="3">
                  <c:v>0.5</c:v>
                </c:pt>
                <c:pt idx="4">
                  <c:v>0.70000000000000018</c:v>
                </c:pt>
                <c:pt idx="5">
                  <c:v>0.89999999999999991</c:v>
                </c:pt>
                <c:pt idx="6">
                  <c:v>1.1000000000000001</c:v>
                </c:pt>
                <c:pt idx="7">
                  <c:v>1.2999999999999998</c:v>
                </c:pt>
                <c:pt idx="8">
                  <c:v>1.5</c:v>
                </c:pt>
                <c:pt idx="9">
                  <c:v>1.6999999999999997</c:v>
                </c:pt>
                <c:pt idx="10">
                  <c:v>1.9</c:v>
                </c:pt>
                <c:pt idx="11">
                  <c:v>2.1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2.7</c:v>
                </c:pt>
                <c:pt idx="15">
                  <c:v>2.9000000000000021</c:v>
                </c:pt>
                <c:pt idx="16">
                  <c:v>3.0999999999999979</c:v>
                </c:pt>
                <c:pt idx="17">
                  <c:v>3.300000000000002</c:v>
                </c:pt>
                <c:pt idx="18">
                  <c:v>3.4999999999999978</c:v>
                </c:pt>
                <c:pt idx="19">
                  <c:v>3.7000000000000024</c:v>
                </c:pt>
                <c:pt idx="20">
                  <c:v>3.9000000000000021</c:v>
                </c:pt>
                <c:pt idx="21">
                  <c:v>4.0999999999999979</c:v>
                </c:pt>
                <c:pt idx="22">
                  <c:v>4.3000000000000025</c:v>
                </c:pt>
                <c:pt idx="23">
                  <c:v>4.5000000000000071</c:v>
                </c:pt>
                <c:pt idx="24">
                  <c:v>4.700000000000002</c:v>
                </c:pt>
                <c:pt idx="25">
                  <c:v>4.8999999999999977</c:v>
                </c:pt>
                <c:pt idx="26">
                  <c:v>5.1000000000000023</c:v>
                </c:pt>
                <c:pt idx="27">
                  <c:v>5.299999999999998</c:v>
                </c:pt>
                <c:pt idx="28">
                  <c:v>5.5000000000000018</c:v>
                </c:pt>
                <c:pt idx="29">
                  <c:v>5.7000000000000064</c:v>
                </c:pt>
                <c:pt idx="30">
                  <c:v>5.8999999999999932</c:v>
                </c:pt>
                <c:pt idx="31">
                  <c:v>6.1000000000000068</c:v>
                </c:pt>
                <c:pt idx="32">
                  <c:v>6.3000000000000025</c:v>
                </c:pt>
                <c:pt idx="33">
                  <c:v>6.500000000000016</c:v>
                </c:pt>
                <c:pt idx="34">
                  <c:v>6.6999999999999931</c:v>
                </c:pt>
                <c:pt idx="35">
                  <c:v>6.9000000000000066</c:v>
                </c:pt>
                <c:pt idx="36">
                  <c:v>7.1000000000000023</c:v>
                </c:pt>
                <c:pt idx="37">
                  <c:v>7.299999999999998</c:v>
                </c:pt>
                <c:pt idx="38">
                  <c:v>7.5000000000000107</c:v>
                </c:pt>
                <c:pt idx="39">
                  <c:v>7.7000000000000064</c:v>
                </c:pt>
                <c:pt idx="40">
                  <c:v>7.9000000000000021</c:v>
                </c:pt>
                <c:pt idx="41">
                  <c:v>8.1000000000000156</c:v>
                </c:pt>
                <c:pt idx="42">
                  <c:v>8.2999999999999776</c:v>
                </c:pt>
                <c:pt idx="43">
                  <c:v>8.5000000000000089</c:v>
                </c:pt>
                <c:pt idx="44">
                  <c:v>8.7000000000000046</c:v>
                </c:pt>
                <c:pt idx="45">
                  <c:v>8.9000000000000021</c:v>
                </c:pt>
                <c:pt idx="46">
                  <c:v>9.0999999999999979</c:v>
                </c:pt>
                <c:pt idx="47">
                  <c:v>9.2999999999999954</c:v>
                </c:pt>
                <c:pt idx="48">
                  <c:v>9.4999999999999911</c:v>
                </c:pt>
                <c:pt idx="49">
                  <c:v>9.7000000000000224</c:v>
                </c:pt>
                <c:pt idx="50">
                  <c:v>9.8999999999999844</c:v>
                </c:pt>
                <c:pt idx="51">
                  <c:v>10.09999999999998</c:v>
                </c:pt>
                <c:pt idx="52">
                  <c:v>10.300000000000013</c:v>
                </c:pt>
                <c:pt idx="53">
                  <c:v>10.500000000000009</c:v>
                </c:pt>
                <c:pt idx="54">
                  <c:v>10.699999999999969</c:v>
                </c:pt>
                <c:pt idx="55">
                  <c:v>10.900000000000002</c:v>
                </c:pt>
                <c:pt idx="56">
                  <c:v>11.099999999999998</c:v>
                </c:pt>
                <c:pt idx="57">
                  <c:v>11.299999999999995</c:v>
                </c:pt>
                <c:pt idx="58">
                  <c:v>11.499999999999956</c:v>
                </c:pt>
                <c:pt idx="59">
                  <c:v>11.699999999999987</c:v>
                </c:pt>
                <c:pt idx="60">
                  <c:v>11.90000000000002</c:v>
                </c:pt>
                <c:pt idx="61">
                  <c:v>12.09999999999998</c:v>
                </c:pt>
                <c:pt idx="62">
                  <c:v>12.300000000000013</c:v>
                </c:pt>
                <c:pt idx="63">
                  <c:v>12.499999999999973</c:v>
                </c:pt>
                <c:pt idx="64">
                  <c:v>12.700000000000005</c:v>
                </c:pt>
                <c:pt idx="65">
                  <c:v>12.899999999999967</c:v>
                </c:pt>
                <c:pt idx="66">
                  <c:v>13.099999999999998</c:v>
                </c:pt>
                <c:pt idx="67">
                  <c:v>13.29999999999996</c:v>
                </c:pt>
                <c:pt idx="68">
                  <c:v>13.499999999999991</c:v>
                </c:pt>
                <c:pt idx="69">
                  <c:v>13.700000000000022</c:v>
                </c:pt>
                <c:pt idx="70">
                  <c:v>13.899999999999913</c:v>
                </c:pt>
                <c:pt idx="71">
                  <c:v>14.100000000000016</c:v>
                </c:pt>
                <c:pt idx="72">
                  <c:v>14.299999999999978</c:v>
                </c:pt>
                <c:pt idx="73">
                  <c:v>14.500000000000009</c:v>
                </c:pt>
                <c:pt idx="74">
                  <c:v>14.699999999999969</c:v>
                </c:pt>
                <c:pt idx="75">
                  <c:v>14.900000000000002</c:v>
                </c:pt>
                <c:pt idx="76">
                  <c:v>15.099999999999962</c:v>
                </c:pt>
                <c:pt idx="77">
                  <c:v>15.299999999999924</c:v>
                </c:pt>
                <c:pt idx="78">
                  <c:v>15.500000000000027</c:v>
                </c:pt>
                <c:pt idx="79">
                  <c:v>15.699999999999987</c:v>
                </c:pt>
                <c:pt idx="80">
                  <c:v>15.899999999999949</c:v>
                </c:pt>
                <c:pt idx="81">
                  <c:v>16.099999999999909</c:v>
                </c:pt>
                <c:pt idx="82">
                  <c:v>16.300000000000011</c:v>
                </c:pt>
                <c:pt idx="83">
                  <c:v>16.499999999999972</c:v>
                </c:pt>
                <c:pt idx="84">
                  <c:v>16.699999999999935</c:v>
                </c:pt>
                <c:pt idx="85">
                  <c:v>16.900000000000038</c:v>
                </c:pt>
                <c:pt idx="86">
                  <c:v>17.099999999999998</c:v>
                </c:pt>
                <c:pt idx="87">
                  <c:v>17.299999999999958</c:v>
                </c:pt>
                <c:pt idx="88">
                  <c:v>17.499999999999922</c:v>
                </c:pt>
                <c:pt idx="89">
                  <c:v>17.700000000000024</c:v>
                </c:pt>
                <c:pt idx="90">
                  <c:v>17.899999999999984</c:v>
                </c:pt>
                <c:pt idx="91">
                  <c:v>18.099999999999945</c:v>
                </c:pt>
                <c:pt idx="92">
                  <c:v>18.299999999999905</c:v>
                </c:pt>
                <c:pt idx="93">
                  <c:v>18.500000000000007</c:v>
                </c:pt>
                <c:pt idx="94">
                  <c:v>18.699999999999971</c:v>
                </c:pt>
                <c:pt idx="95">
                  <c:v>18.899999999999931</c:v>
                </c:pt>
                <c:pt idx="96">
                  <c:v>19.100000000000033</c:v>
                </c:pt>
                <c:pt idx="97">
                  <c:v>19.299999999999994</c:v>
                </c:pt>
                <c:pt idx="98">
                  <c:v>19.499999999999957</c:v>
                </c:pt>
                <c:pt idx="99">
                  <c:v>19.699999999999918</c:v>
                </c:pt>
                <c:pt idx="100">
                  <c:v>19.899999999999878</c:v>
                </c:pt>
                <c:pt idx="101">
                  <c:v>20.09999999999998</c:v>
                </c:pt>
                <c:pt idx="102">
                  <c:v>20.29999999999994</c:v>
                </c:pt>
                <c:pt idx="103">
                  <c:v>20.500000000000043</c:v>
                </c:pt>
                <c:pt idx="104">
                  <c:v>20.700000000000006</c:v>
                </c:pt>
                <c:pt idx="105">
                  <c:v>20.899999999999824</c:v>
                </c:pt>
                <c:pt idx="106">
                  <c:v>21.100000000000069</c:v>
                </c:pt>
                <c:pt idx="107">
                  <c:v>21.299999999999887</c:v>
                </c:pt>
                <c:pt idx="108">
                  <c:v>21.499999999999993</c:v>
                </c:pt>
                <c:pt idx="109">
                  <c:v>21.699999999999953</c:v>
                </c:pt>
                <c:pt idx="110">
                  <c:v>21.899999999999913</c:v>
                </c:pt>
                <c:pt idx="111">
                  <c:v>22.100000000000016</c:v>
                </c:pt>
                <c:pt idx="112">
                  <c:v>22.299999999999976</c:v>
                </c:pt>
                <c:pt idx="113">
                  <c:v>22.499999999999936</c:v>
                </c:pt>
                <c:pt idx="114">
                  <c:v>22.6999999999999</c:v>
                </c:pt>
                <c:pt idx="115">
                  <c:v>22.900000000000002</c:v>
                </c:pt>
                <c:pt idx="116">
                  <c:v>23.09999999999982</c:v>
                </c:pt>
                <c:pt idx="117">
                  <c:v>23.299999999999923</c:v>
                </c:pt>
                <c:pt idx="118">
                  <c:v>23.500000000000028</c:v>
                </c:pt>
                <c:pt idx="119">
                  <c:v>23.700000000000131</c:v>
                </c:pt>
                <c:pt idx="120">
                  <c:v>23.899999999999949</c:v>
                </c:pt>
                <c:pt idx="121">
                  <c:v>24.099999999999767</c:v>
                </c:pt>
                <c:pt idx="122">
                  <c:v>24.299999999999869</c:v>
                </c:pt>
                <c:pt idx="123">
                  <c:v>24.499999999999972</c:v>
                </c:pt>
                <c:pt idx="124">
                  <c:v>24.700000000000077</c:v>
                </c:pt>
                <c:pt idx="125">
                  <c:v>24.899999999999896</c:v>
                </c:pt>
                <c:pt idx="126">
                  <c:v>25.099999999999998</c:v>
                </c:pt>
                <c:pt idx="127">
                  <c:v>25.299999999999816</c:v>
                </c:pt>
                <c:pt idx="128">
                  <c:v>25.499999999999922</c:v>
                </c:pt>
                <c:pt idx="129">
                  <c:v>25.700000000000024</c:v>
                </c:pt>
                <c:pt idx="130">
                  <c:v>25.899999999999842</c:v>
                </c:pt>
                <c:pt idx="131">
                  <c:v>26.099999999999945</c:v>
                </c:pt>
                <c:pt idx="132">
                  <c:v>26.300000000000047</c:v>
                </c:pt>
                <c:pt idx="133">
                  <c:v>26.499999999999865</c:v>
                </c:pt>
                <c:pt idx="134">
                  <c:v>26.699999999999971</c:v>
                </c:pt>
                <c:pt idx="135">
                  <c:v>26.900000000000073</c:v>
                </c:pt>
                <c:pt idx="136">
                  <c:v>27.099999999999891</c:v>
                </c:pt>
                <c:pt idx="137">
                  <c:v>27.299999999999994</c:v>
                </c:pt>
                <c:pt idx="138">
                  <c:v>27.499999999999815</c:v>
                </c:pt>
                <c:pt idx="139">
                  <c:v>27.699999999999918</c:v>
                </c:pt>
                <c:pt idx="140">
                  <c:v>27.90000000000002</c:v>
                </c:pt>
                <c:pt idx="141">
                  <c:v>28.099999999999838</c:v>
                </c:pt>
                <c:pt idx="142">
                  <c:v>28.29999999999994</c:v>
                </c:pt>
                <c:pt idx="143">
                  <c:v>28.500000000000043</c:v>
                </c:pt>
                <c:pt idx="144">
                  <c:v>28.699999999999864</c:v>
                </c:pt>
                <c:pt idx="145">
                  <c:v>28.899999999999967</c:v>
                </c:pt>
                <c:pt idx="146">
                  <c:v>29.099999999999785</c:v>
                </c:pt>
                <c:pt idx="147">
                  <c:v>29.299999999999887</c:v>
                </c:pt>
                <c:pt idx="148">
                  <c:v>29.499999999999993</c:v>
                </c:pt>
                <c:pt idx="149">
                  <c:v>29.700000000000095</c:v>
                </c:pt>
                <c:pt idx="150">
                  <c:v>29.899999999999913</c:v>
                </c:pt>
                <c:pt idx="151">
                  <c:v>30.099999999999731</c:v>
                </c:pt>
                <c:pt idx="152">
                  <c:v>30.300000000000118</c:v>
                </c:pt>
                <c:pt idx="153">
                  <c:v>30.499999999999936</c:v>
                </c:pt>
                <c:pt idx="154">
                  <c:v>30.699999999999758</c:v>
                </c:pt>
                <c:pt idx="155">
                  <c:v>30.89999999999986</c:v>
                </c:pt>
                <c:pt idx="156">
                  <c:v>31.099999999999962</c:v>
                </c:pt>
                <c:pt idx="157">
                  <c:v>31.300000000000065</c:v>
                </c:pt>
                <c:pt idx="158">
                  <c:v>31.499999999999886</c:v>
                </c:pt>
                <c:pt idx="159">
                  <c:v>31.699999999999989</c:v>
                </c:pt>
                <c:pt idx="160">
                  <c:v>31.899999999999807</c:v>
                </c:pt>
                <c:pt idx="161">
                  <c:v>32.099999999999909</c:v>
                </c:pt>
                <c:pt idx="162">
                  <c:v>32.29999999999972</c:v>
                </c:pt>
                <c:pt idx="163">
                  <c:v>32.500000000000107</c:v>
                </c:pt>
                <c:pt idx="164">
                  <c:v>32.699999999999925</c:v>
                </c:pt>
                <c:pt idx="165">
                  <c:v>32.899999999999736</c:v>
                </c:pt>
                <c:pt idx="166">
                  <c:v>33.100000000000122</c:v>
                </c:pt>
                <c:pt idx="167">
                  <c:v>33.299999999999933</c:v>
                </c:pt>
                <c:pt idx="168">
                  <c:v>33.499999999999751</c:v>
                </c:pt>
                <c:pt idx="169">
                  <c:v>33.700000000000138</c:v>
                </c:pt>
                <c:pt idx="170">
                  <c:v>33.899999999999949</c:v>
                </c:pt>
                <c:pt idx="171">
                  <c:v>34.099999999999767</c:v>
                </c:pt>
                <c:pt idx="172">
                  <c:v>34.300000000000146</c:v>
                </c:pt>
                <c:pt idx="173">
                  <c:v>34.499999999999964</c:v>
                </c:pt>
                <c:pt idx="174">
                  <c:v>34.699999999999783</c:v>
                </c:pt>
                <c:pt idx="175">
                  <c:v>34.900000000000162</c:v>
                </c:pt>
                <c:pt idx="176">
                  <c:v>35.09999999999998</c:v>
                </c:pt>
                <c:pt idx="177">
                  <c:v>35.299999999999791</c:v>
                </c:pt>
                <c:pt idx="178">
                  <c:v>35.500000000000178</c:v>
                </c:pt>
                <c:pt idx="179">
                  <c:v>35.699999999999996</c:v>
                </c:pt>
                <c:pt idx="180">
                  <c:v>35.899999999999807</c:v>
                </c:pt>
                <c:pt idx="181">
                  <c:v>36.100000000000193</c:v>
                </c:pt>
                <c:pt idx="182">
                  <c:v>36.300000000000004</c:v>
                </c:pt>
                <c:pt idx="183">
                  <c:v>36.499999999999822</c:v>
                </c:pt>
                <c:pt idx="184">
                  <c:v>36.69999999999964</c:v>
                </c:pt>
                <c:pt idx="185">
                  <c:v>36.90000000000002</c:v>
                </c:pt>
                <c:pt idx="186">
                  <c:v>37.100000000000406</c:v>
                </c:pt>
                <c:pt idx="187">
                  <c:v>37.299999999999649</c:v>
                </c:pt>
                <c:pt idx="188">
                  <c:v>37.500000000000036</c:v>
                </c:pt>
                <c:pt idx="189">
                  <c:v>37.699999999999854</c:v>
                </c:pt>
                <c:pt idx="190">
                  <c:v>37.900000000000233</c:v>
                </c:pt>
                <c:pt idx="191">
                  <c:v>38.100000000000051</c:v>
                </c:pt>
                <c:pt idx="192">
                  <c:v>38.299999999999862</c:v>
                </c:pt>
                <c:pt idx="193">
                  <c:v>38.500000000000249</c:v>
                </c:pt>
                <c:pt idx="194">
                  <c:v>38.700000000000067</c:v>
                </c:pt>
                <c:pt idx="195">
                  <c:v>38.899999999999878</c:v>
                </c:pt>
                <c:pt idx="196">
                  <c:v>39.099999999999696</c:v>
                </c:pt>
                <c:pt idx="197">
                  <c:v>39.300000000000075</c:v>
                </c:pt>
                <c:pt idx="198">
                  <c:v>39.500000000000462</c:v>
                </c:pt>
                <c:pt idx="199">
                  <c:v>39.699999999999712</c:v>
                </c:pt>
                <c:pt idx="200">
                  <c:v>39.900000000000091</c:v>
                </c:pt>
                <c:pt idx="201">
                  <c:v>40.099999999999909</c:v>
                </c:pt>
                <c:pt idx="202">
                  <c:v>40.300000000000288</c:v>
                </c:pt>
                <c:pt idx="203">
                  <c:v>40.500000000000107</c:v>
                </c:pt>
                <c:pt idx="204">
                  <c:v>40.699999999999925</c:v>
                </c:pt>
                <c:pt idx="205">
                  <c:v>40.899999999999736</c:v>
                </c:pt>
                <c:pt idx="206">
                  <c:v>41.100000000000122</c:v>
                </c:pt>
                <c:pt idx="207">
                  <c:v>41.299999999999933</c:v>
                </c:pt>
                <c:pt idx="208">
                  <c:v>41.50000000000032</c:v>
                </c:pt>
                <c:pt idx="209">
                  <c:v>41.700000000000138</c:v>
                </c:pt>
                <c:pt idx="210">
                  <c:v>41.899999999999949</c:v>
                </c:pt>
                <c:pt idx="211">
                  <c:v>42.100000000000335</c:v>
                </c:pt>
                <c:pt idx="212">
                  <c:v>42.299999999999578</c:v>
                </c:pt>
                <c:pt idx="213">
                  <c:v>42.500000000000533</c:v>
                </c:pt>
                <c:pt idx="214">
                  <c:v>42.699999999999783</c:v>
                </c:pt>
                <c:pt idx="215">
                  <c:v>42.900000000000162</c:v>
                </c:pt>
                <c:pt idx="216">
                  <c:v>43.09999999999998</c:v>
                </c:pt>
                <c:pt idx="217">
                  <c:v>43.30000000000036</c:v>
                </c:pt>
                <c:pt idx="218">
                  <c:v>43.499999999999609</c:v>
                </c:pt>
                <c:pt idx="219">
                  <c:v>43.700000000000564</c:v>
                </c:pt>
                <c:pt idx="220">
                  <c:v>43.899999999999807</c:v>
                </c:pt>
                <c:pt idx="221">
                  <c:v>44.100000000000193</c:v>
                </c:pt>
                <c:pt idx="222">
                  <c:v>44.300000000000004</c:v>
                </c:pt>
                <c:pt idx="223">
                  <c:v>44.499999999999822</c:v>
                </c:pt>
                <c:pt idx="224">
                  <c:v>44.700000000000209</c:v>
                </c:pt>
                <c:pt idx="225">
                  <c:v>44.90000000000002</c:v>
                </c:pt>
                <c:pt idx="226">
                  <c:v>45.100000000000406</c:v>
                </c:pt>
                <c:pt idx="227">
                  <c:v>45.299999999999649</c:v>
                </c:pt>
                <c:pt idx="228">
                  <c:v>45.500000000000036</c:v>
                </c:pt>
                <c:pt idx="229">
                  <c:v>45.70000000000099</c:v>
                </c:pt>
                <c:pt idx="230">
                  <c:v>45.899999999999665</c:v>
                </c:pt>
                <c:pt idx="231">
                  <c:v>46.10000000000062</c:v>
                </c:pt>
                <c:pt idx="232">
                  <c:v>46.299999999999294</c:v>
                </c:pt>
                <c:pt idx="233">
                  <c:v>46.500000000000249</c:v>
                </c:pt>
                <c:pt idx="234">
                  <c:v>46.700000000000067</c:v>
                </c:pt>
                <c:pt idx="235">
                  <c:v>46.899999999999878</c:v>
                </c:pt>
                <c:pt idx="236">
                  <c:v>47.100000000000833</c:v>
                </c:pt>
                <c:pt idx="237">
                  <c:v>47.299999999999507</c:v>
                </c:pt>
                <c:pt idx="238">
                  <c:v>47.500000000000462</c:v>
                </c:pt>
                <c:pt idx="239">
                  <c:v>47.70000000000028</c:v>
                </c:pt>
                <c:pt idx="240">
                  <c:v>47.900000000000091</c:v>
                </c:pt>
                <c:pt idx="241">
                  <c:v>48.099999999999909</c:v>
                </c:pt>
                <c:pt idx="242">
                  <c:v>48.300000000000857</c:v>
                </c:pt>
                <c:pt idx="243">
                  <c:v>48.499999999999538</c:v>
                </c:pt>
                <c:pt idx="244">
                  <c:v>48.700000000000493</c:v>
                </c:pt>
                <c:pt idx="245">
                  <c:v>48.900000000000304</c:v>
                </c:pt>
                <c:pt idx="246">
                  <c:v>49.100000000000122</c:v>
                </c:pt>
                <c:pt idx="247">
                  <c:v>49.299999999999933</c:v>
                </c:pt>
                <c:pt idx="248">
                  <c:v>49.499999999999751</c:v>
                </c:pt>
                <c:pt idx="249">
                  <c:v>49.700000000000706</c:v>
                </c:pt>
                <c:pt idx="250">
                  <c:v>49.900000000000517</c:v>
                </c:pt>
                <c:pt idx="251">
                  <c:v>50.099999999999199</c:v>
                </c:pt>
                <c:pt idx="252">
                  <c:v>50.300000000000146</c:v>
                </c:pt>
                <c:pt idx="253">
                  <c:v>50.500000000001101</c:v>
                </c:pt>
                <c:pt idx="254">
                  <c:v>50.699999999999783</c:v>
                </c:pt>
                <c:pt idx="255">
                  <c:v>50.899999999999594</c:v>
                </c:pt>
                <c:pt idx="256">
                  <c:v>51.100000000000549</c:v>
                </c:pt>
                <c:pt idx="257">
                  <c:v>51.30000000000036</c:v>
                </c:pt>
                <c:pt idx="258">
                  <c:v>51.500000000000178</c:v>
                </c:pt>
                <c:pt idx="259">
                  <c:v>51.699999999999996</c:v>
                </c:pt>
                <c:pt idx="260">
                  <c:v>51.900000000000944</c:v>
                </c:pt>
                <c:pt idx="261">
                  <c:v>52.099999999999625</c:v>
                </c:pt>
                <c:pt idx="262">
                  <c:v>52.300000000000573</c:v>
                </c:pt>
                <c:pt idx="263">
                  <c:v>52.500000000000391</c:v>
                </c:pt>
                <c:pt idx="264">
                  <c:v>52.700000000000209</c:v>
                </c:pt>
                <c:pt idx="265">
                  <c:v>52.90000000000002</c:v>
                </c:pt>
                <c:pt idx="266">
                  <c:v>53.099999999999838</c:v>
                </c:pt>
                <c:pt idx="267">
                  <c:v>53.300000000000786</c:v>
                </c:pt>
                <c:pt idx="268">
                  <c:v>53.499999999999467</c:v>
                </c:pt>
                <c:pt idx="269">
                  <c:v>53.700000000000422</c:v>
                </c:pt>
                <c:pt idx="270">
                  <c:v>53.900000000000233</c:v>
                </c:pt>
                <c:pt idx="271">
                  <c:v>54.100000000000051</c:v>
                </c:pt>
                <c:pt idx="272">
                  <c:v>54.299999999999862</c:v>
                </c:pt>
                <c:pt idx="273">
                  <c:v>54.500000000000817</c:v>
                </c:pt>
                <c:pt idx="274">
                  <c:v>54.700000000000635</c:v>
                </c:pt>
                <c:pt idx="275">
                  <c:v>54.899999999999309</c:v>
                </c:pt>
                <c:pt idx="276">
                  <c:v>55.100000000000264</c:v>
                </c:pt>
                <c:pt idx="277">
                  <c:v>55.300000000001212</c:v>
                </c:pt>
                <c:pt idx="278">
                  <c:v>55.499999999999893</c:v>
                </c:pt>
                <c:pt idx="279">
                  <c:v>55.699999999999712</c:v>
                </c:pt>
                <c:pt idx="280">
                  <c:v>55.900000000000659</c:v>
                </c:pt>
                <c:pt idx="281">
                  <c:v>56.100000000000477</c:v>
                </c:pt>
                <c:pt idx="282">
                  <c:v>56.300000000000288</c:v>
                </c:pt>
                <c:pt idx="283">
                  <c:v>56.500000000000107</c:v>
                </c:pt>
                <c:pt idx="284">
                  <c:v>56.699999999999925</c:v>
                </c:pt>
                <c:pt idx="285">
                  <c:v>56.900000000000873</c:v>
                </c:pt>
                <c:pt idx="286">
                  <c:v>57.099999999999554</c:v>
                </c:pt>
                <c:pt idx="287">
                  <c:v>57.300000000000502</c:v>
                </c:pt>
                <c:pt idx="288">
                  <c:v>57.50000000000032</c:v>
                </c:pt>
                <c:pt idx="289">
                  <c:v>57.700000000000138</c:v>
                </c:pt>
                <c:pt idx="290">
                  <c:v>57.899999999999949</c:v>
                </c:pt>
                <c:pt idx="291">
                  <c:v>58.100000000000904</c:v>
                </c:pt>
                <c:pt idx="292">
                  <c:v>58.300000000000715</c:v>
                </c:pt>
                <c:pt idx="293">
                  <c:v>58.499999999999396</c:v>
                </c:pt>
                <c:pt idx="294">
                  <c:v>58.700000000000351</c:v>
                </c:pt>
                <c:pt idx="295">
                  <c:v>58.900000000000162</c:v>
                </c:pt>
                <c:pt idx="296">
                  <c:v>59.100000000001117</c:v>
                </c:pt>
                <c:pt idx="297">
                  <c:v>59.299999999999791</c:v>
                </c:pt>
                <c:pt idx="298">
                  <c:v>59.500000000000746</c:v>
                </c:pt>
                <c:pt idx="299">
                  <c:v>59.700000000000564</c:v>
                </c:pt>
                <c:pt idx="300">
                  <c:v>59.899999999999238</c:v>
                </c:pt>
                <c:pt idx="301">
                  <c:v>60.10000000000133</c:v>
                </c:pt>
                <c:pt idx="302">
                  <c:v>60.300000000000004</c:v>
                </c:pt>
                <c:pt idx="303">
                  <c:v>60.499999999999822</c:v>
                </c:pt>
                <c:pt idx="304">
                  <c:v>60.700000000000777</c:v>
                </c:pt>
                <c:pt idx="305">
                  <c:v>60.900000000000588</c:v>
                </c:pt>
                <c:pt idx="306">
                  <c:v>61.100000000000406</c:v>
                </c:pt>
                <c:pt idx="307">
                  <c:v>61.300000000000217</c:v>
                </c:pt>
                <c:pt idx="308">
                  <c:v>61.500000000000036</c:v>
                </c:pt>
                <c:pt idx="309">
                  <c:v>61.699999999999854</c:v>
                </c:pt>
                <c:pt idx="310">
                  <c:v>61.900000000000801</c:v>
                </c:pt>
                <c:pt idx="311">
                  <c:v>62.10000000000062</c:v>
                </c:pt>
                <c:pt idx="312">
                  <c:v>62.300000000000431</c:v>
                </c:pt>
                <c:pt idx="313">
                  <c:v>62.500000000000249</c:v>
                </c:pt>
                <c:pt idx="314">
                  <c:v>62.700000000000067</c:v>
                </c:pt>
                <c:pt idx="315">
                  <c:v>62.899999999999878</c:v>
                </c:pt>
                <c:pt idx="316">
                  <c:v>63.100000000000833</c:v>
                </c:pt>
                <c:pt idx="317">
                  <c:v>63.300000000000644</c:v>
                </c:pt>
                <c:pt idx="318">
                  <c:v>63.500000000000462</c:v>
                </c:pt>
                <c:pt idx="319">
                  <c:v>63.70000000000028</c:v>
                </c:pt>
                <c:pt idx="320">
                  <c:v>63.900000000000091</c:v>
                </c:pt>
                <c:pt idx="321">
                  <c:v>64.099999999999909</c:v>
                </c:pt>
                <c:pt idx="322">
                  <c:v>64.299999999999727</c:v>
                </c:pt>
                <c:pt idx="323">
                  <c:v>64.500000000001819</c:v>
                </c:pt>
                <c:pt idx="324">
                  <c:v>64.699999999999349</c:v>
                </c:pt>
                <c:pt idx="325">
                  <c:v>64.900000000001441</c:v>
                </c:pt>
                <c:pt idx="326">
                  <c:v>65.099999999998985</c:v>
                </c:pt>
                <c:pt idx="327">
                  <c:v>65.300000000001077</c:v>
                </c:pt>
                <c:pt idx="328">
                  <c:v>65.500000000000881</c:v>
                </c:pt>
                <c:pt idx="329">
                  <c:v>65.700000000000699</c:v>
                </c:pt>
                <c:pt idx="330">
                  <c:v>65.900000000000517</c:v>
                </c:pt>
                <c:pt idx="331">
                  <c:v>66.100000000000335</c:v>
                </c:pt>
                <c:pt idx="332">
                  <c:v>66.300000000000153</c:v>
                </c:pt>
                <c:pt idx="333">
                  <c:v>66.499999999999972</c:v>
                </c:pt>
                <c:pt idx="334">
                  <c:v>66.699999999999775</c:v>
                </c:pt>
                <c:pt idx="335">
                  <c:v>66.900000000001867</c:v>
                </c:pt>
                <c:pt idx="336">
                  <c:v>67.099999999999412</c:v>
                </c:pt>
                <c:pt idx="337">
                  <c:v>67.300000000001504</c:v>
                </c:pt>
                <c:pt idx="338">
                  <c:v>67.499999999999034</c:v>
                </c:pt>
                <c:pt idx="339">
                  <c:v>67.700000000001125</c:v>
                </c:pt>
                <c:pt idx="340">
                  <c:v>67.900000000000944</c:v>
                </c:pt>
                <c:pt idx="341">
                  <c:v>68.100000000000762</c:v>
                </c:pt>
                <c:pt idx="342">
                  <c:v>68.30000000000058</c:v>
                </c:pt>
                <c:pt idx="343">
                  <c:v>68.500000000000398</c:v>
                </c:pt>
                <c:pt idx="344">
                  <c:v>68.700000000000202</c:v>
                </c:pt>
                <c:pt idx="345">
                  <c:v>68.90000000000002</c:v>
                </c:pt>
                <c:pt idx="346">
                  <c:v>69.099999999999838</c:v>
                </c:pt>
                <c:pt idx="347">
                  <c:v>69.299999999999656</c:v>
                </c:pt>
                <c:pt idx="348">
                  <c:v>69.500000000001734</c:v>
                </c:pt>
                <c:pt idx="349">
                  <c:v>69.699999999999278</c:v>
                </c:pt>
                <c:pt idx="350">
                  <c:v>69.90000000000137</c:v>
                </c:pt>
                <c:pt idx="351">
                  <c:v>70.100000000001188</c:v>
                </c:pt>
                <c:pt idx="352">
                  <c:v>70.299999999998732</c:v>
                </c:pt>
                <c:pt idx="353">
                  <c:v>70.500000000000824</c:v>
                </c:pt>
                <c:pt idx="354">
                  <c:v>70.700000000000628</c:v>
                </c:pt>
                <c:pt idx="355">
                  <c:v>70.900000000000446</c:v>
                </c:pt>
                <c:pt idx="356">
                  <c:v>71.100000000000264</c:v>
                </c:pt>
                <c:pt idx="357">
                  <c:v>71.300000000000082</c:v>
                </c:pt>
                <c:pt idx="358">
                  <c:v>71.50000000000216</c:v>
                </c:pt>
                <c:pt idx="359">
                  <c:v>71.699999999999704</c:v>
                </c:pt>
                <c:pt idx="360">
                  <c:v>71.899999999999523</c:v>
                </c:pt>
                <c:pt idx="361">
                  <c:v>72.100000000001614</c:v>
                </c:pt>
                <c:pt idx="362">
                  <c:v>72.300000000001432</c:v>
                </c:pt>
                <c:pt idx="363">
                  <c:v>72.499999999998977</c:v>
                </c:pt>
                <c:pt idx="364">
                  <c:v>72.700000000001054</c:v>
                </c:pt>
                <c:pt idx="365">
                  <c:v>72.900000000000873</c:v>
                </c:pt>
                <c:pt idx="366">
                  <c:v>73.100000000000691</c:v>
                </c:pt>
                <c:pt idx="367">
                  <c:v>73.300000000000509</c:v>
                </c:pt>
                <c:pt idx="368">
                  <c:v>73.500000000000313</c:v>
                </c:pt>
                <c:pt idx="369">
                  <c:v>73.700000000000131</c:v>
                </c:pt>
                <c:pt idx="370">
                  <c:v>73.899999999999949</c:v>
                </c:pt>
                <c:pt idx="371">
                  <c:v>74.100000000002041</c:v>
                </c:pt>
                <c:pt idx="372">
                  <c:v>74.299999999999585</c:v>
                </c:pt>
                <c:pt idx="373">
                  <c:v>74.499999999999403</c:v>
                </c:pt>
                <c:pt idx="374">
                  <c:v>74.700000000001481</c:v>
                </c:pt>
                <c:pt idx="375">
                  <c:v>74.900000000001299</c:v>
                </c:pt>
                <c:pt idx="376">
                  <c:v>75.099999999998843</c:v>
                </c:pt>
                <c:pt idx="377">
                  <c:v>75.300000000000935</c:v>
                </c:pt>
                <c:pt idx="378">
                  <c:v>75.500000000000739</c:v>
                </c:pt>
                <c:pt idx="379">
                  <c:v>75.700000000000557</c:v>
                </c:pt>
                <c:pt idx="380">
                  <c:v>75.900000000000375</c:v>
                </c:pt>
                <c:pt idx="381">
                  <c:v>76.100000000000193</c:v>
                </c:pt>
                <c:pt idx="382">
                  <c:v>76.300000000002285</c:v>
                </c:pt>
                <c:pt idx="383">
                  <c:v>76.499999999999829</c:v>
                </c:pt>
                <c:pt idx="384">
                  <c:v>76.699999999999633</c:v>
                </c:pt>
                <c:pt idx="385">
                  <c:v>76.900000000001725</c:v>
                </c:pt>
                <c:pt idx="386">
                  <c:v>77.09999999999927</c:v>
                </c:pt>
                <c:pt idx="387">
                  <c:v>77.300000000001361</c:v>
                </c:pt>
                <c:pt idx="388">
                  <c:v>77.500000000001165</c:v>
                </c:pt>
                <c:pt idx="389">
                  <c:v>77.700000000000983</c:v>
                </c:pt>
                <c:pt idx="390">
                  <c:v>77.900000000000801</c:v>
                </c:pt>
                <c:pt idx="391">
                  <c:v>78.099999999998346</c:v>
                </c:pt>
                <c:pt idx="392">
                  <c:v>78.300000000002711</c:v>
                </c:pt>
                <c:pt idx="393">
                  <c:v>78.500000000000256</c:v>
                </c:pt>
                <c:pt idx="394">
                  <c:v>78.70000000000006</c:v>
                </c:pt>
                <c:pt idx="395">
                  <c:v>78.899999999999878</c:v>
                </c:pt>
                <c:pt idx="396">
                  <c:v>79.10000000000197</c:v>
                </c:pt>
                <c:pt idx="397">
                  <c:v>79.299999999999514</c:v>
                </c:pt>
                <c:pt idx="398">
                  <c:v>79.500000000001592</c:v>
                </c:pt>
                <c:pt idx="399">
                  <c:v>79.699999999999136</c:v>
                </c:pt>
                <c:pt idx="400">
                  <c:v>79.900000000001228</c:v>
                </c:pt>
                <c:pt idx="401">
                  <c:v>80.100000000001046</c:v>
                </c:pt>
                <c:pt idx="402">
                  <c:v>80.300000000000864</c:v>
                </c:pt>
                <c:pt idx="403">
                  <c:v>80.500000000000682</c:v>
                </c:pt>
                <c:pt idx="404">
                  <c:v>80.700000000000486</c:v>
                </c:pt>
                <c:pt idx="405">
                  <c:v>80.900000000000304</c:v>
                </c:pt>
                <c:pt idx="406">
                  <c:v>81.100000000000122</c:v>
                </c:pt>
                <c:pt idx="407">
                  <c:v>81.29999999999994</c:v>
                </c:pt>
                <c:pt idx="408">
                  <c:v>81.500000000002018</c:v>
                </c:pt>
                <c:pt idx="409">
                  <c:v>81.699999999999562</c:v>
                </c:pt>
                <c:pt idx="410">
                  <c:v>81.900000000001654</c:v>
                </c:pt>
                <c:pt idx="411">
                  <c:v>82.099999999999199</c:v>
                </c:pt>
                <c:pt idx="412">
                  <c:v>82.30000000000129</c:v>
                </c:pt>
                <c:pt idx="413">
                  <c:v>82.500000000001108</c:v>
                </c:pt>
                <c:pt idx="414">
                  <c:v>82.700000000000912</c:v>
                </c:pt>
                <c:pt idx="415">
                  <c:v>82.90000000000073</c:v>
                </c:pt>
                <c:pt idx="416">
                  <c:v>83.100000000000549</c:v>
                </c:pt>
                <c:pt idx="417">
                  <c:v>83.300000000000367</c:v>
                </c:pt>
                <c:pt idx="418">
                  <c:v>83.500000000000171</c:v>
                </c:pt>
                <c:pt idx="419">
                  <c:v>83.699999999999989</c:v>
                </c:pt>
                <c:pt idx="420">
                  <c:v>83.90000000000208</c:v>
                </c:pt>
                <c:pt idx="421">
                  <c:v>84.099999999999625</c:v>
                </c:pt>
                <c:pt idx="422">
                  <c:v>84.300000000001717</c:v>
                </c:pt>
                <c:pt idx="423">
                  <c:v>84.499999999999261</c:v>
                </c:pt>
                <c:pt idx="424">
                  <c:v>84.700000000001339</c:v>
                </c:pt>
                <c:pt idx="425">
                  <c:v>84.900000000001157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B25-4183-B610-E5A371BB6CDB}"/>
            </c:ext>
          </c:extLst>
        </c:ser>
        <c:ser>
          <c:idx val="2"/>
          <c:order val="1"/>
          <c:tx>
            <c:strRef>
              <c:f>Plan1!$H$21</c:f>
              <c:strCache>
                <c:ptCount val="1"/>
                <c:pt idx="0">
                  <c:v>vônibus</c:v>
                </c:pt>
              </c:strCache>
            </c:strRef>
          </c:tx>
          <c:marker>
            <c:symbol val="none"/>
          </c:marker>
          <c:yVal>
            <c:numRef>
              <c:f>Plan1!$H$22:$H$447</c:f>
              <c:numCache>
                <c:formatCode>General</c:formatCode>
                <c:ptCount val="426"/>
                <c:pt idx="1">
                  <c:v>16.666666666666668</c:v>
                </c:pt>
                <c:pt idx="2">
                  <c:v>16.666666666666668</c:v>
                </c:pt>
                <c:pt idx="3">
                  <c:v>16.666666666666664</c:v>
                </c:pt>
                <c:pt idx="4">
                  <c:v>16.666666666666675</c:v>
                </c:pt>
                <c:pt idx="5">
                  <c:v>16.666666666666664</c:v>
                </c:pt>
                <c:pt idx="6">
                  <c:v>16.666666666666664</c:v>
                </c:pt>
                <c:pt idx="7">
                  <c:v>16.666666666666664</c:v>
                </c:pt>
                <c:pt idx="8">
                  <c:v>16.666666666666682</c:v>
                </c:pt>
                <c:pt idx="9">
                  <c:v>16.666666666666664</c:v>
                </c:pt>
                <c:pt idx="10">
                  <c:v>16.666666666666647</c:v>
                </c:pt>
                <c:pt idx="11">
                  <c:v>16.666666666666682</c:v>
                </c:pt>
                <c:pt idx="12">
                  <c:v>16.666666666666664</c:v>
                </c:pt>
                <c:pt idx="13">
                  <c:v>16.666666666666664</c:v>
                </c:pt>
                <c:pt idx="14">
                  <c:v>16.666666666666664</c:v>
                </c:pt>
                <c:pt idx="15">
                  <c:v>16.6666666666667</c:v>
                </c:pt>
                <c:pt idx="16">
                  <c:v>16.666666666666664</c:v>
                </c:pt>
                <c:pt idx="17">
                  <c:v>16.666666666666664</c:v>
                </c:pt>
                <c:pt idx="18">
                  <c:v>16.666666666666664</c:v>
                </c:pt>
                <c:pt idx="19">
                  <c:v>16.666666666666664</c:v>
                </c:pt>
                <c:pt idx="20">
                  <c:v>16.666666666666664</c:v>
                </c:pt>
                <c:pt idx="21">
                  <c:v>16.6666666666667</c:v>
                </c:pt>
                <c:pt idx="22">
                  <c:v>16.666666666666629</c:v>
                </c:pt>
                <c:pt idx="23">
                  <c:v>16.6666666666667</c:v>
                </c:pt>
                <c:pt idx="24">
                  <c:v>16.666666666666629</c:v>
                </c:pt>
                <c:pt idx="25">
                  <c:v>16.6666666666667</c:v>
                </c:pt>
                <c:pt idx="26">
                  <c:v>16.666666666666629</c:v>
                </c:pt>
                <c:pt idx="27">
                  <c:v>16.6666666666667</c:v>
                </c:pt>
                <c:pt idx="28">
                  <c:v>16.6666666666667</c:v>
                </c:pt>
                <c:pt idx="29">
                  <c:v>16.666666666666629</c:v>
                </c:pt>
                <c:pt idx="30">
                  <c:v>16.6666666666667</c:v>
                </c:pt>
                <c:pt idx="31">
                  <c:v>16.666666666666629</c:v>
                </c:pt>
                <c:pt idx="32">
                  <c:v>16.6666666666667</c:v>
                </c:pt>
                <c:pt idx="33">
                  <c:v>16.666666666666629</c:v>
                </c:pt>
                <c:pt idx="34">
                  <c:v>16.6666666666667</c:v>
                </c:pt>
                <c:pt idx="35">
                  <c:v>16.666666666666629</c:v>
                </c:pt>
                <c:pt idx="36">
                  <c:v>16.6666666666667</c:v>
                </c:pt>
                <c:pt idx="37">
                  <c:v>16.6666666666667</c:v>
                </c:pt>
                <c:pt idx="38">
                  <c:v>16.666666666666629</c:v>
                </c:pt>
                <c:pt idx="39">
                  <c:v>16.6666666666667</c:v>
                </c:pt>
                <c:pt idx="40">
                  <c:v>16.666666666666632</c:v>
                </c:pt>
                <c:pt idx="41">
                  <c:v>16.666666666666632</c:v>
                </c:pt>
                <c:pt idx="42">
                  <c:v>16.666666666666774</c:v>
                </c:pt>
                <c:pt idx="43">
                  <c:v>16.666666666666632</c:v>
                </c:pt>
                <c:pt idx="44">
                  <c:v>16.666666666666632</c:v>
                </c:pt>
                <c:pt idx="45">
                  <c:v>16.666666666666632</c:v>
                </c:pt>
                <c:pt idx="46">
                  <c:v>16.666666666666774</c:v>
                </c:pt>
                <c:pt idx="47">
                  <c:v>16.666666666666632</c:v>
                </c:pt>
                <c:pt idx="48">
                  <c:v>16.666666666666632</c:v>
                </c:pt>
                <c:pt idx="49">
                  <c:v>16.666666666666632</c:v>
                </c:pt>
                <c:pt idx="50">
                  <c:v>16.666666666666774</c:v>
                </c:pt>
                <c:pt idx="51">
                  <c:v>16.666666666666632</c:v>
                </c:pt>
                <c:pt idx="52">
                  <c:v>16.666666666666632</c:v>
                </c:pt>
                <c:pt idx="53">
                  <c:v>16.666666666666632</c:v>
                </c:pt>
                <c:pt idx="54">
                  <c:v>16.666666666666774</c:v>
                </c:pt>
                <c:pt idx="55">
                  <c:v>16.666666666666632</c:v>
                </c:pt>
                <c:pt idx="56">
                  <c:v>16.666666666666632</c:v>
                </c:pt>
                <c:pt idx="57">
                  <c:v>16.666666666666632</c:v>
                </c:pt>
                <c:pt idx="58">
                  <c:v>16.666666666666774</c:v>
                </c:pt>
                <c:pt idx="59">
                  <c:v>16.666666666666632</c:v>
                </c:pt>
                <c:pt idx="60">
                  <c:v>16.666666666666632</c:v>
                </c:pt>
                <c:pt idx="61">
                  <c:v>16.666666666666774</c:v>
                </c:pt>
                <c:pt idx="62">
                  <c:v>16.666666666666632</c:v>
                </c:pt>
                <c:pt idx="63">
                  <c:v>16.666666666666632</c:v>
                </c:pt>
                <c:pt idx="64">
                  <c:v>16.666666666666632</c:v>
                </c:pt>
                <c:pt idx="65">
                  <c:v>16.666666666666774</c:v>
                </c:pt>
                <c:pt idx="66">
                  <c:v>16.666666666666632</c:v>
                </c:pt>
                <c:pt idx="67">
                  <c:v>16.666666666666632</c:v>
                </c:pt>
                <c:pt idx="68">
                  <c:v>16.666666666666632</c:v>
                </c:pt>
                <c:pt idx="69">
                  <c:v>16.666666666666774</c:v>
                </c:pt>
                <c:pt idx="70">
                  <c:v>16.666666666666632</c:v>
                </c:pt>
                <c:pt idx="71">
                  <c:v>16.666666666666632</c:v>
                </c:pt>
                <c:pt idx="72">
                  <c:v>16.666666666666632</c:v>
                </c:pt>
                <c:pt idx="73">
                  <c:v>16.666666666666774</c:v>
                </c:pt>
                <c:pt idx="74">
                  <c:v>16.666666666666632</c:v>
                </c:pt>
                <c:pt idx="75">
                  <c:v>16.666666666666632</c:v>
                </c:pt>
                <c:pt idx="76">
                  <c:v>16.666666666666632</c:v>
                </c:pt>
                <c:pt idx="77">
                  <c:v>16.666666666666632</c:v>
                </c:pt>
                <c:pt idx="78">
                  <c:v>16.666666666666632</c:v>
                </c:pt>
                <c:pt idx="79">
                  <c:v>16.666666666666917</c:v>
                </c:pt>
                <c:pt idx="80">
                  <c:v>16.666666666666632</c:v>
                </c:pt>
                <c:pt idx="81">
                  <c:v>16.666666666666632</c:v>
                </c:pt>
                <c:pt idx="82">
                  <c:v>16.666666666666632</c:v>
                </c:pt>
                <c:pt idx="83">
                  <c:v>16.666666666666632</c:v>
                </c:pt>
                <c:pt idx="84">
                  <c:v>16.666666666666632</c:v>
                </c:pt>
                <c:pt idx="85">
                  <c:v>16.666666666666632</c:v>
                </c:pt>
                <c:pt idx="86">
                  <c:v>16.666666666666632</c:v>
                </c:pt>
                <c:pt idx="87">
                  <c:v>16.666666666666917</c:v>
                </c:pt>
                <c:pt idx="88">
                  <c:v>16.666666666666632</c:v>
                </c:pt>
                <c:pt idx="89">
                  <c:v>16.666666666666632</c:v>
                </c:pt>
                <c:pt idx="90">
                  <c:v>16.666666666666632</c:v>
                </c:pt>
                <c:pt idx="91">
                  <c:v>16.666666666666632</c:v>
                </c:pt>
                <c:pt idx="92">
                  <c:v>16.666666666666632</c:v>
                </c:pt>
                <c:pt idx="93">
                  <c:v>16.666666666666632</c:v>
                </c:pt>
                <c:pt idx="94">
                  <c:v>16.666666666666917</c:v>
                </c:pt>
                <c:pt idx="95">
                  <c:v>16.666666666666632</c:v>
                </c:pt>
                <c:pt idx="96">
                  <c:v>16.666666666666632</c:v>
                </c:pt>
                <c:pt idx="97">
                  <c:v>16.666666666666632</c:v>
                </c:pt>
                <c:pt idx="98">
                  <c:v>16.666666666666632</c:v>
                </c:pt>
                <c:pt idx="99">
                  <c:v>16.666666666666632</c:v>
                </c:pt>
                <c:pt idx="100">
                  <c:v>16.666666666666632</c:v>
                </c:pt>
                <c:pt idx="101">
                  <c:v>16.666666666666632</c:v>
                </c:pt>
                <c:pt idx="102">
                  <c:v>16.666666666666917</c:v>
                </c:pt>
                <c:pt idx="103">
                  <c:v>16.666666666666632</c:v>
                </c:pt>
                <c:pt idx="104">
                  <c:v>16.666666666666632</c:v>
                </c:pt>
                <c:pt idx="105">
                  <c:v>16.666666666666632</c:v>
                </c:pt>
                <c:pt idx="106">
                  <c:v>16.666666666666632</c:v>
                </c:pt>
                <c:pt idx="107">
                  <c:v>16.666666666666632</c:v>
                </c:pt>
                <c:pt idx="108">
                  <c:v>16.666666666666632</c:v>
                </c:pt>
                <c:pt idx="109">
                  <c:v>16.666666666666632</c:v>
                </c:pt>
                <c:pt idx="110">
                  <c:v>16.666666666666917</c:v>
                </c:pt>
                <c:pt idx="111">
                  <c:v>16.666666666666632</c:v>
                </c:pt>
                <c:pt idx="112">
                  <c:v>16.666666666666632</c:v>
                </c:pt>
                <c:pt idx="113">
                  <c:v>16.666666666666632</c:v>
                </c:pt>
                <c:pt idx="114">
                  <c:v>16.666666666666632</c:v>
                </c:pt>
                <c:pt idx="115">
                  <c:v>16.666666666666632</c:v>
                </c:pt>
                <c:pt idx="116">
                  <c:v>16.666666666666632</c:v>
                </c:pt>
                <c:pt idx="117">
                  <c:v>16.666666666666632</c:v>
                </c:pt>
                <c:pt idx="118">
                  <c:v>16.666666666666917</c:v>
                </c:pt>
                <c:pt idx="119">
                  <c:v>16.666666666666632</c:v>
                </c:pt>
                <c:pt idx="120">
                  <c:v>16.666666666666632</c:v>
                </c:pt>
                <c:pt idx="121">
                  <c:v>16.666666666666632</c:v>
                </c:pt>
                <c:pt idx="122">
                  <c:v>16.666666666666632</c:v>
                </c:pt>
                <c:pt idx="123">
                  <c:v>16.666666666666632</c:v>
                </c:pt>
                <c:pt idx="124">
                  <c:v>16.666666666666632</c:v>
                </c:pt>
                <c:pt idx="125">
                  <c:v>16.666666666666917</c:v>
                </c:pt>
                <c:pt idx="126">
                  <c:v>16.666666666666632</c:v>
                </c:pt>
                <c:pt idx="127">
                  <c:v>16.666666666666632</c:v>
                </c:pt>
                <c:pt idx="128">
                  <c:v>16.666666666666632</c:v>
                </c:pt>
                <c:pt idx="129">
                  <c:v>16.666666666666632</c:v>
                </c:pt>
                <c:pt idx="130">
                  <c:v>16.666666666666632</c:v>
                </c:pt>
                <c:pt idx="131">
                  <c:v>16.666666666666632</c:v>
                </c:pt>
                <c:pt idx="132">
                  <c:v>16.666666666666632</c:v>
                </c:pt>
                <c:pt idx="133">
                  <c:v>16.666666666666917</c:v>
                </c:pt>
                <c:pt idx="134">
                  <c:v>16.666666666666632</c:v>
                </c:pt>
                <c:pt idx="135">
                  <c:v>16.666666666666632</c:v>
                </c:pt>
                <c:pt idx="136">
                  <c:v>16.666666666666632</c:v>
                </c:pt>
                <c:pt idx="137">
                  <c:v>16.666666666666632</c:v>
                </c:pt>
                <c:pt idx="138">
                  <c:v>16.666666666666632</c:v>
                </c:pt>
                <c:pt idx="139">
                  <c:v>16.666666666666632</c:v>
                </c:pt>
                <c:pt idx="140">
                  <c:v>16.666666666666632</c:v>
                </c:pt>
                <c:pt idx="141">
                  <c:v>16.666666666666917</c:v>
                </c:pt>
                <c:pt idx="142">
                  <c:v>16.666666666666632</c:v>
                </c:pt>
                <c:pt idx="143">
                  <c:v>16.666666666666632</c:v>
                </c:pt>
                <c:pt idx="144">
                  <c:v>16.666666666666632</c:v>
                </c:pt>
                <c:pt idx="145">
                  <c:v>16.666666666666632</c:v>
                </c:pt>
                <c:pt idx="146">
                  <c:v>16.666666666666632</c:v>
                </c:pt>
                <c:pt idx="147">
                  <c:v>16.666666666666632</c:v>
                </c:pt>
                <c:pt idx="148">
                  <c:v>16.666666666666632</c:v>
                </c:pt>
                <c:pt idx="149">
                  <c:v>16.666666666666917</c:v>
                </c:pt>
                <c:pt idx="150">
                  <c:v>16.666666666666632</c:v>
                </c:pt>
                <c:pt idx="151">
                  <c:v>16.666666666666632</c:v>
                </c:pt>
                <c:pt idx="152">
                  <c:v>16.666666666666632</c:v>
                </c:pt>
                <c:pt idx="153">
                  <c:v>16.666666666666632</c:v>
                </c:pt>
                <c:pt idx="154">
                  <c:v>16.666666666666917</c:v>
                </c:pt>
                <c:pt idx="155">
                  <c:v>16.666666666666348</c:v>
                </c:pt>
                <c:pt idx="156">
                  <c:v>16.666666666666917</c:v>
                </c:pt>
                <c:pt idx="157">
                  <c:v>16.666666666666348</c:v>
                </c:pt>
                <c:pt idx="158">
                  <c:v>16.666666666666917</c:v>
                </c:pt>
                <c:pt idx="159">
                  <c:v>16.666666666666348</c:v>
                </c:pt>
                <c:pt idx="160">
                  <c:v>16.666666666666917</c:v>
                </c:pt>
                <c:pt idx="161">
                  <c:v>16.666666666666917</c:v>
                </c:pt>
                <c:pt idx="162">
                  <c:v>16.666666666666618</c:v>
                </c:pt>
                <c:pt idx="163">
                  <c:v>16.666666666666618</c:v>
                </c:pt>
                <c:pt idx="164">
                  <c:v>16.666666666666618</c:v>
                </c:pt>
                <c:pt idx="165">
                  <c:v>16.666666666666618</c:v>
                </c:pt>
                <c:pt idx="166">
                  <c:v>16.666666666666618</c:v>
                </c:pt>
                <c:pt idx="167">
                  <c:v>16.666666666666618</c:v>
                </c:pt>
                <c:pt idx="168">
                  <c:v>16.666666666666618</c:v>
                </c:pt>
                <c:pt idx="169">
                  <c:v>16.666666666666618</c:v>
                </c:pt>
                <c:pt idx="170">
                  <c:v>16.666666666666618</c:v>
                </c:pt>
                <c:pt idx="171">
                  <c:v>16.666666666666618</c:v>
                </c:pt>
                <c:pt idx="172">
                  <c:v>16.666666666667187</c:v>
                </c:pt>
                <c:pt idx="173">
                  <c:v>16.666666666666618</c:v>
                </c:pt>
                <c:pt idx="174">
                  <c:v>16.666666666666618</c:v>
                </c:pt>
                <c:pt idx="175">
                  <c:v>16.666666666666618</c:v>
                </c:pt>
                <c:pt idx="176">
                  <c:v>16.666666666666618</c:v>
                </c:pt>
                <c:pt idx="177">
                  <c:v>16.666666666666618</c:v>
                </c:pt>
                <c:pt idx="178">
                  <c:v>16.666666666666618</c:v>
                </c:pt>
                <c:pt idx="179">
                  <c:v>16.666666666666618</c:v>
                </c:pt>
                <c:pt idx="180">
                  <c:v>16.666666666666618</c:v>
                </c:pt>
                <c:pt idx="181">
                  <c:v>16.666666666666618</c:v>
                </c:pt>
                <c:pt idx="182">
                  <c:v>16.666666666666618</c:v>
                </c:pt>
                <c:pt idx="183">
                  <c:v>16.666666666666618</c:v>
                </c:pt>
                <c:pt idx="184">
                  <c:v>16.666666666667187</c:v>
                </c:pt>
                <c:pt idx="185">
                  <c:v>16.666666666666618</c:v>
                </c:pt>
                <c:pt idx="186">
                  <c:v>16.666666666666618</c:v>
                </c:pt>
                <c:pt idx="187">
                  <c:v>16.666666666666618</c:v>
                </c:pt>
                <c:pt idx="188">
                  <c:v>16.666666666666618</c:v>
                </c:pt>
                <c:pt idx="189">
                  <c:v>16.666666666666618</c:v>
                </c:pt>
                <c:pt idx="190">
                  <c:v>16.666666666666618</c:v>
                </c:pt>
                <c:pt idx="191">
                  <c:v>16.666666666666618</c:v>
                </c:pt>
                <c:pt idx="192">
                  <c:v>16.666666666666618</c:v>
                </c:pt>
                <c:pt idx="193">
                  <c:v>16.666666666666618</c:v>
                </c:pt>
                <c:pt idx="194">
                  <c:v>16.666666666666618</c:v>
                </c:pt>
                <c:pt idx="195">
                  <c:v>16.666666666666618</c:v>
                </c:pt>
                <c:pt idx="196">
                  <c:v>16.666666666667187</c:v>
                </c:pt>
                <c:pt idx="197">
                  <c:v>16.666666666666618</c:v>
                </c:pt>
                <c:pt idx="198">
                  <c:v>16.666666666666618</c:v>
                </c:pt>
                <c:pt idx="199">
                  <c:v>16.666666666666618</c:v>
                </c:pt>
                <c:pt idx="200">
                  <c:v>16.666666666666618</c:v>
                </c:pt>
                <c:pt idx="201">
                  <c:v>16.666666666666618</c:v>
                </c:pt>
                <c:pt idx="202">
                  <c:v>16.666666666666618</c:v>
                </c:pt>
                <c:pt idx="203">
                  <c:v>16.666666666666618</c:v>
                </c:pt>
                <c:pt idx="204">
                  <c:v>16.666666666666618</c:v>
                </c:pt>
                <c:pt idx="205">
                  <c:v>16.666666666666618</c:v>
                </c:pt>
                <c:pt idx="206">
                  <c:v>16.666666666666618</c:v>
                </c:pt>
                <c:pt idx="207">
                  <c:v>16.666666666667187</c:v>
                </c:pt>
                <c:pt idx="208">
                  <c:v>16.666666666666618</c:v>
                </c:pt>
                <c:pt idx="209">
                  <c:v>16.666666666666618</c:v>
                </c:pt>
                <c:pt idx="210">
                  <c:v>16.666666666666618</c:v>
                </c:pt>
                <c:pt idx="211">
                  <c:v>16.666666666666618</c:v>
                </c:pt>
                <c:pt idx="212">
                  <c:v>16.666666666666618</c:v>
                </c:pt>
                <c:pt idx="213">
                  <c:v>16.666666666666618</c:v>
                </c:pt>
                <c:pt idx="214">
                  <c:v>16.666666666666618</c:v>
                </c:pt>
                <c:pt idx="215">
                  <c:v>16.666666666666618</c:v>
                </c:pt>
                <c:pt idx="216">
                  <c:v>16.666666666666618</c:v>
                </c:pt>
                <c:pt idx="217">
                  <c:v>16.666666666666618</c:v>
                </c:pt>
                <c:pt idx="218">
                  <c:v>16.666666666666618</c:v>
                </c:pt>
                <c:pt idx="219">
                  <c:v>16.666666666667187</c:v>
                </c:pt>
                <c:pt idx="220">
                  <c:v>16.666666666666618</c:v>
                </c:pt>
                <c:pt idx="221">
                  <c:v>16.666666666666618</c:v>
                </c:pt>
                <c:pt idx="222">
                  <c:v>16.666666666666618</c:v>
                </c:pt>
                <c:pt idx="223">
                  <c:v>16.666666666666618</c:v>
                </c:pt>
                <c:pt idx="224">
                  <c:v>16.666666666666618</c:v>
                </c:pt>
                <c:pt idx="225">
                  <c:v>16.666666666666618</c:v>
                </c:pt>
                <c:pt idx="226">
                  <c:v>16.666666666666618</c:v>
                </c:pt>
                <c:pt idx="227">
                  <c:v>16.666666666666618</c:v>
                </c:pt>
                <c:pt idx="228">
                  <c:v>16.666666666666618</c:v>
                </c:pt>
                <c:pt idx="229">
                  <c:v>16.666666666666618</c:v>
                </c:pt>
                <c:pt idx="230">
                  <c:v>16.666666666666618</c:v>
                </c:pt>
                <c:pt idx="231">
                  <c:v>16.666666666667187</c:v>
                </c:pt>
                <c:pt idx="232">
                  <c:v>16.666666666666618</c:v>
                </c:pt>
                <c:pt idx="233">
                  <c:v>16.666666666666618</c:v>
                </c:pt>
                <c:pt idx="234">
                  <c:v>16.666666666666618</c:v>
                </c:pt>
                <c:pt idx="235">
                  <c:v>16.666666666666618</c:v>
                </c:pt>
                <c:pt idx="236">
                  <c:v>16.666666666666618</c:v>
                </c:pt>
                <c:pt idx="237">
                  <c:v>16.666666666666618</c:v>
                </c:pt>
                <c:pt idx="238">
                  <c:v>16.666666666666618</c:v>
                </c:pt>
                <c:pt idx="239">
                  <c:v>16.666666666666618</c:v>
                </c:pt>
                <c:pt idx="240">
                  <c:v>16.666666666666618</c:v>
                </c:pt>
                <c:pt idx="241">
                  <c:v>16.666666666666618</c:v>
                </c:pt>
                <c:pt idx="242">
                  <c:v>16.666666666667187</c:v>
                </c:pt>
                <c:pt idx="243">
                  <c:v>16.666666666666618</c:v>
                </c:pt>
                <c:pt idx="244">
                  <c:v>16.666666666666618</c:v>
                </c:pt>
                <c:pt idx="245">
                  <c:v>16.666666666666618</c:v>
                </c:pt>
                <c:pt idx="246">
                  <c:v>16.666666666666618</c:v>
                </c:pt>
                <c:pt idx="247">
                  <c:v>16.666666666666618</c:v>
                </c:pt>
                <c:pt idx="248">
                  <c:v>16.666666666666618</c:v>
                </c:pt>
                <c:pt idx="249">
                  <c:v>16.666666666666618</c:v>
                </c:pt>
                <c:pt idx="250">
                  <c:v>16.666666666666618</c:v>
                </c:pt>
                <c:pt idx="251">
                  <c:v>16.666666666666618</c:v>
                </c:pt>
                <c:pt idx="252">
                  <c:v>16.666666666666618</c:v>
                </c:pt>
                <c:pt idx="253">
                  <c:v>16.666666666666618</c:v>
                </c:pt>
                <c:pt idx="254">
                  <c:v>16.666666666667187</c:v>
                </c:pt>
                <c:pt idx="255">
                  <c:v>16.666666666666618</c:v>
                </c:pt>
                <c:pt idx="256">
                  <c:v>16.666666666666618</c:v>
                </c:pt>
                <c:pt idx="257">
                  <c:v>16.666666666666618</c:v>
                </c:pt>
                <c:pt idx="258">
                  <c:v>16.666666666666618</c:v>
                </c:pt>
                <c:pt idx="259">
                  <c:v>16.666666666666618</c:v>
                </c:pt>
                <c:pt idx="260">
                  <c:v>16.666666666666618</c:v>
                </c:pt>
                <c:pt idx="261">
                  <c:v>16.666666666666618</c:v>
                </c:pt>
                <c:pt idx="262">
                  <c:v>16.666666666666618</c:v>
                </c:pt>
                <c:pt idx="263">
                  <c:v>16.666666666666618</c:v>
                </c:pt>
                <c:pt idx="264">
                  <c:v>16.666666666666618</c:v>
                </c:pt>
                <c:pt idx="265">
                  <c:v>16.666666666666618</c:v>
                </c:pt>
                <c:pt idx="266">
                  <c:v>16.666666666667187</c:v>
                </c:pt>
                <c:pt idx="267">
                  <c:v>16.666666666666618</c:v>
                </c:pt>
                <c:pt idx="268">
                  <c:v>16.666666666666618</c:v>
                </c:pt>
                <c:pt idx="269">
                  <c:v>16.666666666666618</c:v>
                </c:pt>
                <c:pt idx="270">
                  <c:v>16.666666666666618</c:v>
                </c:pt>
                <c:pt idx="271">
                  <c:v>16.666666666666618</c:v>
                </c:pt>
                <c:pt idx="272">
                  <c:v>16.666666666666618</c:v>
                </c:pt>
                <c:pt idx="273">
                  <c:v>16.666666666666618</c:v>
                </c:pt>
                <c:pt idx="274">
                  <c:v>16.666666666666618</c:v>
                </c:pt>
                <c:pt idx="275">
                  <c:v>16.666666666666618</c:v>
                </c:pt>
                <c:pt idx="276">
                  <c:v>16.666666666666618</c:v>
                </c:pt>
                <c:pt idx="277">
                  <c:v>16.666666666666618</c:v>
                </c:pt>
                <c:pt idx="278">
                  <c:v>16.666666666667187</c:v>
                </c:pt>
                <c:pt idx="279">
                  <c:v>16.666666666666618</c:v>
                </c:pt>
                <c:pt idx="280">
                  <c:v>16.666666666666618</c:v>
                </c:pt>
                <c:pt idx="281">
                  <c:v>16.666666666666618</c:v>
                </c:pt>
                <c:pt idx="282">
                  <c:v>16.666666666666618</c:v>
                </c:pt>
                <c:pt idx="283">
                  <c:v>16.666666666666618</c:v>
                </c:pt>
                <c:pt idx="284">
                  <c:v>16.666666666666618</c:v>
                </c:pt>
                <c:pt idx="285">
                  <c:v>16.666666666666618</c:v>
                </c:pt>
                <c:pt idx="286">
                  <c:v>16.666666666666618</c:v>
                </c:pt>
                <c:pt idx="287">
                  <c:v>16.666666666666618</c:v>
                </c:pt>
                <c:pt idx="288">
                  <c:v>16.666666666666618</c:v>
                </c:pt>
                <c:pt idx="289">
                  <c:v>16.666666666667187</c:v>
                </c:pt>
                <c:pt idx="290">
                  <c:v>16.666666666666618</c:v>
                </c:pt>
                <c:pt idx="291">
                  <c:v>16.666666666666618</c:v>
                </c:pt>
                <c:pt idx="292">
                  <c:v>16.666666666666618</c:v>
                </c:pt>
                <c:pt idx="293">
                  <c:v>16.666666666666618</c:v>
                </c:pt>
                <c:pt idx="294">
                  <c:v>16.666666666666618</c:v>
                </c:pt>
                <c:pt idx="295">
                  <c:v>16.666666666666618</c:v>
                </c:pt>
                <c:pt idx="296">
                  <c:v>16.666666666666618</c:v>
                </c:pt>
                <c:pt idx="297">
                  <c:v>16.666666666666618</c:v>
                </c:pt>
                <c:pt idx="298">
                  <c:v>16.666666666666618</c:v>
                </c:pt>
                <c:pt idx="299">
                  <c:v>16.666666666666618</c:v>
                </c:pt>
                <c:pt idx="300">
                  <c:v>16.666666666666618</c:v>
                </c:pt>
                <c:pt idx="301">
                  <c:v>16.666666666667187</c:v>
                </c:pt>
                <c:pt idx="302">
                  <c:v>16.666666666666618</c:v>
                </c:pt>
                <c:pt idx="303">
                  <c:v>16.666666666666618</c:v>
                </c:pt>
                <c:pt idx="304">
                  <c:v>16.666666666666618</c:v>
                </c:pt>
                <c:pt idx="305">
                  <c:v>16.666666666666618</c:v>
                </c:pt>
                <c:pt idx="306">
                  <c:v>16.666666666666618</c:v>
                </c:pt>
                <c:pt idx="307">
                  <c:v>16.666666666666618</c:v>
                </c:pt>
                <c:pt idx="308">
                  <c:v>16.666666666667187</c:v>
                </c:pt>
                <c:pt idx="309">
                  <c:v>16.66666666666605</c:v>
                </c:pt>
                <c:pt idx="310">
                  <c:v>16.666666666667187</c:v>
                </c:pt>
                <c:pt idx="311">
                  <c:v>16.66666666666605</c:v>
                </c:pt>
                <c:pt idx="312">
                  <c:v>16.666666666667187</c:v>
                </c:pt>
                <c:pt idx="313">
                  <c:v>16.66666666666605</c:v>
                </c:pt>
                <c:pt idx="314">
                  <c:v>16.666666666667187</c:v>
                </c:pt>
                <c:pt idx="315">
                  <c:v>16.66666666666605</c:v>
                </c:pt>
                <c:pt idx="316">
                  <c:v>16.666666666667187</c:v>
                </c:pt>
                <c:pt idx="317">
                  <c:v>16.66666666666605</c:v>
                </c:pt>
                <c:pt idx="318">
                  <c:v>16.666666666667187</c:v>
                </c:pt>
                <c:pt idx="319">
                  <c:v>16.666666666667187</c:v>
                </c:pt>
                <c:pt idx="320">
                  <c:v>16.66666666666605</c:v>
                </c:pt>
                <c:pt idx="321">
                  <c:v>16.666666666667187</c:v>
                </c:pt>
                <c:pt idx="322">
                  <c:v>16.66666666666605</c:v>
                </c:pt>
                <c:pt idx="323">
                  <c:v>16.666666666667187</c:v>
                </c:pt>
                <c:pt idx="324">
                  <c:v>16.66666666666605</c:v>
                </c:pt>
                <c:pt idx="325">
                  <c:v>16.666666666667187</c:v>
                </c:pt>
                <c:pt idx="326">
                  <c:v>16.66666666666605</c:v>
                </c:pt>
                <c:pt idx="327">
                  <c:v>16.666666666667187</c:v>
                </c:pt>
                <c:pt idx="328">
                  <c:v>16.66666666666605</c:v>
                </c:pt>
                <c:pt idx="329">
                  <c:v>16.666666666667187</c:v>
                </c:pt>
                <c:pt idx="330">
                  <c:v>16.666666666667187</c:v>
                </c:pt>
                <c:pt idx="331">
                  <c:v>16.66666666666605</c:v>
                </c:pt>
                <c:pt idx="332">
                  <c:v>16.666666666667187</c:v>
                </c:pt>
                <c:pt idx="333">
                  <c:v>16.66666666666605</c:v>
                </c:pt>
                <c:pt idx="334">
                  <c:v>16.666666666667187</c:v>
                </c:pt>
                <c:pt idx="335">
                  <c:v>16.66666666666605</c:v>
                </c:pt>
                <c:pt idx="336">
                  <c:v>16.666666666667187</c:v>
                </c:pt>
                <c:pt idx="337">
                  <c:v>16.66666666666605</c:v>
                </c:pt>
                <c:pt idx="338">
                  <c:v>16.666666666667187</c:v>
                </c:pt>
                <c:pt idx="339">
                  <c:v>16.66666666666605</c:v>
                </c:pt>
                <c:pt idx="340">
                  <c:v>16.666666666667187</c:v>
                </c:pt>
                <c:pt idx="341">
                  <c:v>16.66666666666605</c:v>
                </c:pt>
                <c:pt idx="342">
                  <c:v>16.666666666667187</c:v>
                </c:pt>
                <c:pt idx="343">
                  <c:v>16.666666666667187</c:v>
                </c:pt>
                <c:pt idx="344">
                  <c:v>16.66666666666605</c:v>
                </c:pt>
                <c:pt idx="345">
                  <c:v>16.666666666667187</c:v>
                </c:pt>
                <c:pt idx="346">
                  <c:v>16.66666666666605</c:v>
                </c:pt>
                <c:pt idx="347">
                  <c:v>16.666666666667187</c:v>
                </c:pt>
                <c:pt idx="348">
                  <c:v>16.66666666666605</c:v>
                </c:pt>
                <c:pt idx="349">
                  <c:v>16.666666666667187</c:v>
                </c:pt>
                <c:pt idx="350">
                  <c:v>16.66666666666605</c:v>
                </c:pt>
                <c:pt idx="351">
                  <c:v>16.666666666667187</c:v>
                </c:pt>
                <c:pt idx="352">
                  <c:v>16.66666666666605</c:v>
                </c:pt>
                <c:pt idx="353">
                  <c:v>16.666666666667187</c:v>
                </c:pt>
                <c:pt idx="354">
                  <c:v>16.666666666667187</c:v>
                </c:pt>
                <c:pt idx="355">
                  <c:v>16.66666666666605</c:v>
                </c:pt>
                <c:pt idx="356">
                  <c:v>16.666666666667187</c:v>
                </c:pt>
                <c:pt idx="357">
                  <c:v>16.66666666666605</c:v>
                </c:pt>
                <c:pt idx="358">
                  <c:v>16.666666666667187</c:v>
                </c:pt>
                <c:pt idx="359">
                  <c:v>16.66666666666605</c:v>
                </c:pt>
                <c:pt idx="360">
                  <c:v>16.666666666667187</c:v>
                </c:pt>
                <c:pt idx="361">
                  <c:v>16.66666666666605</c:v>
                </c:pt>
                <c:pt idx="362">
                  <c:v>16.666666666667187</c:v>
                </c:pt>
                <c:pt idx="363">
                  <c:v>16.66666666666605</c:v>
                </c:pt>
                <c:pt idx="364">
                  <c:v>16.666666666667187</c:v>
                </c:pt>
                <c:pt idx="365">
                  <c:v>16.666666666667187</c:v>
                </c:pt>
                <c:pt idx="366">
                  <c:v>16.66666666666605</c:v>
                </c:pt>
                <c:pt idx="367">
                  <c:v>16.666666666667187</c:v>
                </c:pt>
                <c:pt idx="368">
                  <c:v>16.66666666666605</c:v>
                </c:pt>
                <c:pt idx="369">
                  <c:v>16.666666666667187</c:v>
                </c:pt>
                <c:pt idx="370">
                  <c:v>16.66666666666605</c:v>
                </c:pt>
                <c:pt idx="371">
                  <c:v>16.666666666667187</c:v>
                </c:pt>
                <c:pt idx="372">
                  <c:v>16.66666666666605</c:v>
                </c:pt>
                <c:pt idx="373">
                  <c:v>16.666666666667187</c:v>
                </c:pt>
                <c:pt idx="374">
                  <c:v>16.66666666666605</c:v>
                </c:pt>
                <c:pt idx="375">
                  <c:v>16.666666666667187</c:v>
                </c:pt>
                <c:pt idx="376">
                  <c:v>16.66666666666605</c:v>
                </c:pt>
                <c:pt idx="377">
                  <c:v>16.666666666667187</c:v>
                </c:pt>
                <c:pt idx="378">
                  <c:v>16.666666666667187</c:v>
                </c:pt>
                <c:pt idx="379">
                  <c:v>16.66666666666605</c:v>
                </c:pt>
                <c:pt idx="380">
                  <c:v>16.666666666667187</c:v>
                </c:pt>
                <c:pt idx="381">
                  <c:v>16.66666666666605</c:v>
                </c:pt>
                <c:pt idx="382">
                  <c:v>16.666666666667187</c:v>
                </c:pt>
                <c:pt idx="383">
                  <c:v>16.66666666666605</c:v>
                </c:pt>
                <c:pt idx="384">
                  <c:v>16.666666666667187</c:v>
                </c:pt>
                <c:pt idx="385">
                  <c:v>16.66666666666605</c:v>
                </c:pt>
                <c:pt idx="386">
                  <c:v>16.666666666667187</c:v>
                </c:pt>
                <c:pt idx="387">
                  <c:v>16.66666666666605</c:v>
                </c:pt>
                <c:pt idx="388">
                  <c:v>16.666666666667187</c:v>
                </c:pt>
                <c:pt idx="389">
                  <c:v>16.666666666667187</c:v>
                </c:pt>
                <c:pt idx="390">
                  <c:v>16.66666666666605</c:v>
                </c:pt>
                <c:pt idx="391">
                  <c:v>16.666666666667187</c:v>
                </c:pt>
                <c:pt idx="392">
                  <c:v>16.66666666666605</c:v>
                </c:pt>
                <c:pt idx="393">
                  <c:v>16.666666666667187</c:v>
                </c:pt>
                <c:pt idx="394">
                  <c:v>16.66666666666605</c:v>
                </c:pt>
                <c:pt idx="395">
                  <c:v>16.666666666667187</c:v>
                </c:pt>
                <c:pt idx="396">
                  <c:v>16.66666666666605</c:v>
                </c:pt>
                <c:pt idx="397">
                  <c:v>16.666666666667187</c:v>
                </c:pt>
                <c:pt idx="398">
                  <c:v>16.66666666666605</c:v>
                </c:pt>
                <c:pt idx="399">
                  <c:v>16.666666666667187</c:v>
                </c:pt>
                <c:pt idx="400">
                  <c:v>16.666666666667187</c:v>
                </c:pt>
                <c:pt idx="401">
                  <c:v>16.66666666666605</c:v>
                </c:pt>
                <c:pt idx="402">
                  <c:v>16.666666666667187</c:v>
                </c:pt>
                <c:pt idx="403">
                  <c:v>16.66666666666605</c:v>
                </c:pt>
                <c:pt idx="404">
                  <c:v>16.666666666667187</c:v>
                </c:pt>
                <c:pt idx="405">
                  <c:v>16.66666666666605</c:v>
                </c:pt>
                <c:pt idx="406">
                  <c:v>16.666666666667187</c:v>
                </c:pt>
                <c:pt idx="407">
                  <c:v>16.66666666666605</c:v>
                </c:pt>
                <c:pt idx="408">
                  <c:v>16.666666666667187</c:v>
                </c:pt>
                <c:pt idx="409">
                  <c:v>16.66666666666605</c:v>
                </c:pt>
                <c:pt idx="410">
                  <c:v>16.666666666667187</c:v>
                </c:pt>
                <c:pt idx="411">
                  <c:v>16.66666666666605</c:v>
                </c:pt>
                <c:pt idx="412">
                  <c:v>16.666666666667187</c:v>
                </c:pt>
                <c:pt idx="413">
                  <c:v>16.666666666667187</c:v>
                </c:pt>
                <c:pt idx="414">
                  <c:v>16.66666666666605</c:v>
                </c:pt>
                <c:pt idx="415">
                  <c:v>16.666666666667187</c:v>
                </c:pt>
                <c:pt idx="416">
                  <c:v>16.66666666666605</c:v>
                </c:pt>
                <c:pt idx="417">
                  <c:v>16.666666666667187</c:v>
                </c:pt>
                <c:pt idx="418">
                  <c:v>16.66666666666605</c:v>
                </c:pt>
                <c:pt idx="419">
                  <c:v>16.666666666667187</c:v>
                </c:pt>
                <c:pt idx="420">
                  <c:v>16.66666666666605</c:v>
                </c:pt>
                <c:pt idx="421">
                  <c:v>16.666666666667187</c:v>
                </c:pt>
                <c:pt idx="422">
                  <c:v>16.66666666666605</c:v>
                </c:pt>
                <c:pt idx="423">
                  <c:v>16.666666666667187</c:v>
                </c:pt>
                <c:pt idx="424">
                  <c:v>16.666666666667187</c:v>
                </c:pt>
                <c:pt idx="425">
                  <c:v>16.66666666666605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B25-4183-B610-E5A371BB6CDB}"/>
            </c:ext>
          </c:extLst>
        </c:ser>
        <c:axId val="67290624"/>
        <c:axId val="67292160"/>
      </c:scatterChart>
      <c:valAx>
        <c:axId val="67290624"/>
        <c:scaling>
          <c:orientation val="minMax"/>
        </c:scaling>
        <c:axPos val="b"/>
        <c:tickLblPos val="nextTo"/>
        <c:crossAx val="67292160"/>
        <c:crosses val="autoZero"/>
        <c:crossBetween val="midCat"/>
      </c:valAx>
      <c:valAx>
        <c:axId val="67292160"/>
        <c:scaling>
          <c:orientation val="minMax"/>
        </c:scaling>
        <c:axPos val="l"/>
        <c:majorGridlines/>
        <c:numFmt formatCode="General" sourceLinked="1"/>
        <c:tickLblPos val="nextTo"/>
        <c:crossAx val="6729062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scatterChart>
        <c:scatterStyle val="smoothMarker"/>
        <c:ser>
          <c:idx val="0"/>
          <c:order val="0"/>
          <c:tx>
            <c:strRef>
              <c:f>Plan1!$E$21</c:f>
              <c:strCache>
                <c:ptCount val="1"/>
                <c:pt idx="0">
                  <c:v>aautomóvel</c:v>
                </c:pt>
              </c:strCache>
            </c:strRef>
          </c:tx>
          <c:marker>
            <c:symbol val="none"/>
          </c:marker>
          <c:xVal>
            <c:numRef>
              <c:f>Plan1!$A$22:$A$447</c:f>
              <c:numCache>
                <c:formatCode>General</c:formatCode>
                <c:ptCount val="42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</c:numCache>
            </c:numRef>
          </c:xVal>
          <c:yVal>
            <c:numRef>
              <c:f>Plan1!$E$22:$E$447</c:f>
              <c:numCache>
                <c:formatCode>General</c:formatCode>
                <c:ptCount val="426"/>
                <c:pt idx="2">
                  <c:v>2</c:v>
                </c:pt>
                <c:pt idx="3">
                  <c:v>1.9999999999999989</c:v>
                </c:pt>
                <c:pt idx="4">
                  <c:v>2.0000000000000022</c:v>
                </c:pt>
                <c:pt idx="5">
                  <c:v>1.9999999999999978</c:v>
                </c:pt>
                <c:pt idx="6">
                  <c:v>2.0000000000000022</c:v>
                </c:pt>
                <c:pt idx="7">
                  <c:v>1.9999999999999978</c:v>
                </c:pt>
                <c:pt idx="8">
                  <c:v>2.0000000000000022</c:v>
                </c:pt>
                <c:pt idx="9">
                  <c:v>1.9999999999999978</c:v>
                </c:pt>
                <c:pt idx="10">
                  <c:v>2.0000000000000022</c:v>
                </c:pt>
                <c:pt idx="11">
                  <c:v>2.0000000000000022</c:v>
                </c:pt>
                <c:pt idx="12">
                  <c:v>1.9999999999999956</c:v>
                </c:pt>
                <c:pt idx="13">
                  <c:v>2</c:v>
                </c:pt>
                <c:pt idx="14">
                  <c:v>2</c:v>
                </c:pt>
                <c:pt idx="15">
                  <c:v>2.0000000000000178</c:v>
                </c:pt>
                <c:pt idx="16">
                  <c:v>1.9999999999999556</c:v>
                </c:pt>
                <c:pt idx="17">
                  <c:v>2.00000000000004</c:v>
                </c:pt>
                <c:pt idx="18">
                  <c:v>1.9999999999999556</c:v>
                </c:pt>
                <c:pt idx="19">
                  <c:v>2.0000000000000444</c:v>
                </c:pt>
                <c:pt idx="20">
                  <c:v>2</c:v>
                </c:pt>
                <c:pt idx="21">
                  <c:v>1.9999999999999556</c:v>
                </c:pt>
                <c:pt idx="22">
                  <c:v>2.0000000000000444</c:v>
                </c:pt>
                <c:pt idx="23">
                  <c:v>2.0000000000000444</c:v>
                </c:pt>
                <c:pt idx="24">
                  <c:v>1.9999999999999467</c:v>
                </c:pt>
                <c:pt idx="25">
                  <c:v>1.9999999999999556</c:v>
                </c:pt>
                <c:pt idx="26">
                  <c:v>2.0000000000000444</c:v>
                </c:pt>
                <c:pt idx="27">
                  <c:v>1.9999999999999556</c:v>
                </c:pt>
                <c:pt idx="28">
                  <c:v>2.0000000000000355</c:v>
                </c:pt>
                <c:pt idx="29">
                  <c:v>2.0000000000000444</c:v>
                </c:pt>
                <c:pt idx="30">
                  <c:v>1.9999999999998668</c:v>
                </c:pt>
                <c:pt idx="31">
                  <c:v>2.0000000000001332</c:v>
                </c:pt>
                <c:pt idx="32">
                  <c:v>1.9999999999999556</c:v>
                </c:pt>
                <c:pt idx="33">
                  <c:v>2.0000000000001332</c:v>
                </c:pt>
                <c:pt idx="34">
                  <c:v>1.9999999999997691</c:v>
                </c:pt>
                <c:pt idx="35">
                  <c:v>2.0000000000001332</c:v>
                </c:pt>
                <c:pt idx="36">
                  <c:v>1.9999999999999556</c:v>
                </c:pt>
                <c:pt idx="37">
                  <c:v>1.9999999999999556</c:v>
                </c:pt>
                <c:pt idx="38">
                  <c:v>2.0000000000001243</c:v>
                </c:pt>
                <c:pt idx="39">
                  <c:v>1.9999999999999556</c:v>
                </c:pt>
                <c:pt idx="40">
                  <c:v>1.9999999999999645</c:v>
                </c:pt>
                <c:pt idx="41">
                  <c:v>2.0000000000001421</c:v>
                </c:pt>
                <c:pt idx="42">
                  <c:v>1.999999999999627</c:v>
                </c:pt>
                <c:pt idx="43">
                  <c:v>2.0000000000003197</c:v>
                </c:pt>
                <c:pt idx="44">
                  <c:v>1.9999999999999645</c:v>
                </c:pt>
                <c:pt idx="45">
                  <c:v>1.9999999999999822</c:v>
                </c:pt>
                <c:pt idx="46">
                  <c:v>1.9999999999999645</c:v>
                </c:pt>
                <c:pt idx="47">
                  <c:v>1.9999999999999822</c:v>
                </c:pt>
                <c:pt idx="48">
                  <c:v>1.9999999999999645</c:v>
                </c:pt>
                <c:pt idx="49">
                  <c:v>2.0000000000003197</c:v>
                </c:pt>
                <c:pt idx="50">
                  <c:v>1.999999999999627</c:v>
                </c:pt>
                <c:pt idx="51">
                  <c:v>1.9999999999999645</c:v>
                </c:pt>
                <c:pt idx="52">
                  <c:v>2.0000000000003375</c:v>
                </c:pt>
                <c:pt idx="53">
                  <c:v>1.9999999999999645</c:v>
                </c:pt>
                <c:pt idx="54">
                  <c:v>1.9999999999996092</c:v>
                </c:pt>
                <c:pt idx="55">
                  <c:v>2.0000000000003375</c:v>
                </c:pt>
                <c:pt idx="56">
                  <c:v>1.9999999999999645</c:v>
                </c:pt>
                <c:pt idx="57">
                  <c:v>1.9999999999999822</c:v>
                </c:pt>
                <c:pt idx="58">
                  <c:v>1.9999999999996092</c:v>
                </c:pt>
                <c:pt idx="59">
                  <c:v>2.0000000000003197</c:v>
                </c:pt>
                <c:pt idx="60">
                  <c:v>2.0000000000003375</c:v>
                </c:pt>
                <c:pt idx="61">
                  <c:v>1.9999999999996092</c:v>
                </c:pt>
                <c:pt idx="62">
                  <c:v>2.0000000000003375</c:v>
                </c:pt>
                <c:pt idx="63">
                  <c:v>1.9999999999996092</c:v>
                </c:pt>
                <c:pt idx="64">
                  <c:v>2.0000000000003197</c:v>
                </c:pt>
                <c:pt idx="65">
                  <c:v>1.999999999999627</c:v>
                </c:pt>
                <c:pt idx="66">
                  <c:v>2.0000000000003197</c:v>
                </c:pt>
                <c:pt idx="67">
                  <c:v>1.999999999999627</c:v>
                </c:pt>
                <c:pt idx="68">
                  <c:v>2.0000000000003197</c:v>
                </c:pt>
                <c:pt idx="69">
                  <c:v>2.0000000000003197</c:v>
                </c:pt>
                <c:pt idx="70">
                  <c:v>1.9999999999989164</c:v>
                </c:pt>
                <c:pt idx="71">
                  <c:v>2.0000000000010303</c:v>
                </c:pt>
                <c:pt idx="72">
                  <c:v>1.999999999999627</c:v>
                </c:pt>
                <c:pt idx="73">
                  <c:v>2.0000000000003197</c:v>
                </c:pt>
                <c:pt idx="74">
                  <c:v>1.9999999999996092</c:v>
                </c:pt>
                <c:pt idx="75">
                  <c:v>2.0000000000003375</c:v>
                </c:pt>
                <c:pt idx="76">
                  <c:v>1.9999999999996092</c:v>
                </c:pt>
                <c:pt idx="77">
                  <c:v>1.999999999999627</c:v>
                </c:pt>
                <c:pt idx="78">
                  <c:v>2.0000000000010303</c:v>
                </c:pt>
                <c:pt idx="79">
                  <c:v>1.9999999999996092</c:v>
                </c:pt>
                <c:pt idx="80">
                  <c:v>1.999999999999627</c:v>
                </c:pt>
                <c:pt idx="81">
                  <c:v>1.9999999999996092</c:v>
                </c:pt>
                <c:pt idx="82">
                  <c:v>2.0000000000010303</c:v>
                </c:pt>
                <c:pt idx="83">
                  <c:v>1.9999999999996092</c:v>
                </c:pt>
                <c:pt idx="84">
                  <c:v>1.9999999999996447</c:v>
                </c:pt>
                <c:pt idx="85">
                  <c:v>2.0000000000010303</c:v>
                </c:pt>
                <c:pt idx="86">
                  <c:v>1.9999999999996092</c:v>
                </c:pt>
                <c:pt idx="87">
                  <c:v>1.9999999999996092</c:v>
                </c:pt>
                <c:pt idx="88">
                  <c:v>1.9999999999996447</c:v>
                </c:pt>
                <c:pt idx="89">
                  <c:v>2.0000000000010303</c:v>
                </c:pt>
                <c:pt idx="90">
                  <c:v>1.9999999999996092</c:v>
                </c:pt>
                <c:pt idx="91">
                  <c:v>1.9999999999996092</c:v>
                </c:pt>
                <c:pt idx="92">
                  <c:v>1.9999999999996092</c:v>
                </c:pt>
                <c:pt idx="93">
                  <c:v>2.0000000000010303</c:v>
                </c:pt>
                <c:pt idx="94">
                  <c:v>1.9999999999996447</c:v>
                </c:pt>
                <c:pt idx="95">
                  <c:v>1.9999999999996092</c:v>
                </c:pt>
                <c:pt idx="96">
                  <c:v>2.0000000000010303</c:v>
                </c:pt>
                <c:pt idx="97">
                  <c:v>1.9999999999996092</c:v>
                </c:pt>
                <c:pt idx="98">
                  <c:v>1.9999999999996447</c:v>
                </c:pt>
                <c:pt idx="99">
                  <c:v>1.9999999999996092</c:v>
                </c:pt>
                <c:pt idx="100">
                  <c:v>1.9999999999996092</c:v>
                </c:pt>
                <c:pt idx="101">
                  <c:v>2.0000000000010303</c:v>
                </c:pt>
                <c:pt idx="102">
                  <c:v>1.9999999999996092</c:v>
                </c:pt>
                <c:pt idx="103">
                  <c:v>2.0000000000010303</c:v>
                </c:pt>
                <c:pt idx="104">
                  <c:v>1.9999999999996447</c:v>
                </c:pt>
                <c:pt idx="105">
                  <c:v>1.9999999999981881</c:v>
                </c:pt>
                <c:pt idx="106">
                  <c:v>2.0000000000024514</c:v>
                </c:pt>
                <c:pt idx="107">
                  <c:v>1.9999999999981881</c:v>
                </c:pt>
                <c:pt idx="108">
                  <c:v>2.0000000000010658</c:v>
                </c:pt>
                <c:pt idx="109">
                  <c:v>1.9999999999996092</c:v>
                </c:pt>
                <c:pt idx="110">
                  <c:v>1.9999999999996092</c:v>
                </c:pt>
                <c:pt idx="111">
                  <c:v>2.0000000000010303</c:v>
                </c:pt>
                <c:pt idx="112">
                  <c:v>1.9999999999996092</c:v>
                </c:pt>
                <c:pt idx="113">
                  <c:v>1.9999999999996092</c:v>
                </c:pt>
                <c:pt idx="114">
                  <c:v>1.9999999999996447</c:v>
                </c:pt>
                <c:pt idx="115">
                  <c:v>2.0000000000010303</c:v>
                </c:pt>
                <c:pt idx="116">
                  <c:v>1.9999999999981881</c:v>
                </c:pt>
                <c:pt idx="117">
                  <c:v>2.0000000000010303</c:v>
                </c:pt>
                <c:pt idx="118">
                  <c:v>2.0000000000010658</c:v>
                </c:pt>
                <c:pt idx="119">
                  <c:v>2.0000000000010303</c:v>
                </c:pt>
                <c:pt idx="120">
                  <c:v>1.9999999999981881</c:v>
                </c:pt>
                <c:pt idx="121">
                  <c:v>1.9999999999981881</c:v>
                </c:pt>
                <c:pt idx="122">
                  <c:v>2.0000000000010303</c:v>
                </c:pt>
                <c:pt idx="123">
                  <c:v>2.0000000000010303</c:v>
                </c:pt>
                <c:pt idx="124">
                  <c:v>2.0000000000010658</c:v>
                </c:pt>
                <c:pt idx="125">
                  <c:v>1.9999999999981881</c:v>
                </c:pt>
                <c:pt idx="126">
                  <c:v>2.0000000000010303</c:v>
                </c:pt>
                <c:pt idx="127">
                  <c:v>1.9999999999981881</c:v>
                </c:pt>
                <c:pt idx="128">
                  <c:v>2.0000000000010658</c:v>
                </c:pt>
                <c:pt idx="129">
                  <c:v>2.0000000000010303</c:v>
                </c:pt>
                <c:pt idx="130">
                  <c:v>1.9999999999981881</c:v>
                </c:pt>
                <c:pt idx="131">
                  <c:v>2.0000000000010303</c:v>
                </c:pt>
                <c:pt idx="132">
                  <c:v>2.0000000000010303</c:v>
                </c:pt>
                <c:pt idx="133">
                  <c:v>1.9999999999981881</c:v>
                </c:pt>
                <c:pt idx="134">
                  <c:v>2.0000000000010658</c:v>
                </c:pt>
                <c:pt idx="135">
                  <c:v>2.0000000000010303</c:v>
                </c:pt>
                <c:pt idx="136">
                  <c:v>1.9999999999981881</c:v>
                </c:pt>
                <c:pt idx="137">
                  <c:v>2.0000000000010303</c:v>
                </c:pt>
                <c:pt idx="138">
                  <c:v>1.9999999999982236</c:v>
                </c:pt>
                <c:pt idx="139">
                  <c:v>2.0000000000010303</c:v>
                </c:pt>
                <c:pt idx="140">
                  <c:v>2.0000000000010303</c:v>
                </c:pt>
                <c:pt idx="141">
                  <c:v>1.9999999999981881</c:v>
                </c:pt>
                <c:pt idx="142">
                  <c:v>2.0000000000010303</c:v>
                </c:pt>
                <c:pt idx="143">
                  <c:v>2.0000000000010303</c:v>
                </c:pt>
                <c:pt idx="144">
                  <c:v>1.9999999999982236</c:v>
                </c:pt>
                <c:pt idx="145">
                  <c:v>2.0000000000010303</c:v>
                </c:pt>
                <c:pt idx="146">
                  <c:v>1.9999999999981881</c:v>
                </c:pt>
                <c:pt idx="147">
                  <c:v>2.0000000000010303</c:v>
                </c:pt>
                <c:pt idx="148">
                  <c:v>2.0000000000010658</c:v>
                </c:pt>
                <c:pt idx="149">
                  <c:v>2.0000000000010303</c:v>
                </c:pt>
                <c:pt idx="150">
                  <c:v>1.9999999999981881</c:v>
                </c:pt>
                <c:pt idx="151">
                  <c:v>1.9999999999981881</c:v>
                </c:pt>
                <c:pt idx="152">
                  <c:v>2.0000000000038725</c:v>
                </c:pt>
                <c:pt idx="153">
                  <c:v>1.9999999999981881</c:v>
                </c:pt>
                <c:pt idx="154">
                  <c:v>1.9999999999982236</c:v>
                </c:pt>
                <c:pt idx="155">
                  <c:v>2.0000000000010303</c:v>
                </c:pt>
                <c:pt idx="156">
                  <c:v>2.0000000000010303</c:v>
                </c:pt>
                <c:pt idx="157">
                  <c:v>2.0000000000010303</c:v>
                </c:pt>
                <c:pt idx="158">
                  <c:v>1.9999999999982236</c:v>
                </c:pt>
                <c:pt idx="159">
                  <c:v>2.0000000000010303</c:v>
                </c:pt>
                <c:pt idx="160">
                  <c:v>1.9999999999981881</c:v>
                </c:pt>
                <c:pt idx="161">
                  <c:v>2.0000000000010303</c:v>
                </c:pt>
                <c:pt idx="162">
                  <c:v>1.9999999999980815</c:v>
                </c:pt>
                <c:pt idx="163">
                  <c:v>2.0000000000038369</c:v>
                </c:pt>
                <c:pt idx="164">
                  <c:v>1.9999999999981526</c:v>
                </c:pt>
                <c:pt idx="165">
                  <c:v>1.9999999999980815</c:v>
                </c:pt>
                <c:pt idx="166">
                  <c:v>2.0000000000038369</c:v>
                </c:pt>
                <c:pt idx="167">
                  <c:v>1.9999999999980815</c:v>
                </c:pt>
                <c:pt idx="168">
                  <c:v>1.9999999999981526</c:v>
                </c:pt>
                <c:pt idx="169">
                  <c:v>2.0000000000038369</c:v>
                </c:pt>
                <c:pt idx="170">
                  <c:v>1.9999999999980815</c:v>
                </c:pt>
                <c:pt idx="171">
                  <c:v>1.9999999999981526</c:v>
                </c:pt>
                <c:pt idx="172">
                  <c:v>2.0000000000037659</c:v>
                </c:pt>
                <c:pt idx="173">
                  <c:v>1.9999999999981526</c:v>
                </c:pt>
                <c:pt idx="174">
                  <c:v>1.9999999999981526</c:v>
                </c:pt>
                <c:pt idx="175">
                  <c:v>2.0000000000037659</c:v>
                </c:pt>
                <c:pt idx="176">
                  <c:v>1.9999999999981526</c:v>
                </c:pt>
                <c:pt idx="177">
                  <c:v>1.9999999999980815</c:v>
                </c:pt>
                <c:pt idx="178">
                  <c:v>2.0000000000038369</c:v>
                </c:pt>
                <c:pt idx="179">
                  <c:v>1.9999999999981526</c:v>
                </c:pt>
                <c:pt idx="180">
                  <c:v>1.9999999999980815</c:v>
                </c:pt>
                <c:pt idx="181">
                  <c:v>2.0000000000038369</c:v>
                </c:pt>
                <c:pt idx="182">
                  <c:v>1.9999999999980815</c:v>
                </c:pt>
                <c:pt idx="183">
                  <c:v>1.9999999999981526</c:v>
                </c:pt>
                <c:pt idx="184">
                  <c:v>1.9999999999981526</c:v>
                </c:pt>
                <c:pt idx="185">
                  <c:v>2.0000000000037659</c:v>
                </c:pt>
                <c:pt idx="186">
                  <c:v>2.0000000000038369</c:v>
                </c:pt>
                <c:pt idx="187">
                  <c:v>1.9999999999923972</c:v>
                </c:pt>
                <c:pt idx="188">
                  <c:v>2.0000000000038369</c:v>
                </c:pt>
                <c:pt idx="189">
                  <c:v>1.9999999999981526</c:v>
                </c:pt>
                <c:pt idx="190">
                  <c:v>2.0000000000037659</c:v>
                </c:pt>
                <c:pt idx="191">
                  <c:v>1.9999999999981526</c:v>
                </c:pt>
                <c:pt idx="192">
                  <c:v>1.9999999999980815</c:v>
                </c:pt>
                <c:pt idx="193">
                  <c:v>2.0000000000038369</c:v>
                </c:pt>
                <c:pt idx="194">
                  <c:v>1.9999999999981526</c:v>
                </c:pt>
                <c:pt idx="195">
                  <c:v>1.9999999999980815</c:v>
                </c:pt>
                <c:pt idx="196">
                  <c:v>1.9999999999981526</c:v>
                </c:pt>
                <c:pt idx="197">
                  <c:v>2.0000000000037659</c:v>
                </c:pt>
                <c:pt idx="198">
                  <c:v>2.0000000000038369</c:v>
                </c:pt>
                <c:pt idx="199">
                  <c:v>1.9999999999924682</c:v>
                </c:pt>
                <c:pt idx="200">
                  <c:v>2.0000000000037659</c:v>
                </c:pt>
                <c:pt idx="201">
                  <c:v>1.9999999999981526</c:v>
                </c:pt>
                <c:pt idx="202">
                  <c:v>2.0000000000037659</c:v>
                </c:pt>
                <c:pt idx="203">
                  <c:v>1.9999999999981526</c:v>
                </c:pt>
                <c:pt idx="204">
                  <c:v>1.9999999999981526</c:v>
                </c:pt>
                <c:pt idx="205">
                  <c:v>1.9999999999980815</c:v>
                </c:pt>
                <c:pt idx="206">
                  <c:v>2.0000000000038369</c:v>
                </c:pt>
                <c:pt idx="207">
                  <c:v>1.9999999999980815</c:v>
                </c:pt>
                <c:pt idx="208">
                  <c:v>2.0000000000038369</c:v>
                </c:pt>
                <c:pt idx="209">
                  <c:v>1.9999999999981526</c:v>
                </c:pt>
                <c:pt idx="210">
                  <c:v>1.9999999999980815</c:v>
                </c:pt>
                <c:pt idx="211">
                  <c:v>2.0000000000038369</c:v>
                </c:pt>
                <c:pt idx="212">
                  <c:v>1.9999999999923972</c:v>
                </c:pt>
                <c:pt idx="213">
                  <c:v>2.0000000000095213</c:v>
                </c:pt>
                <c:pt idx="214">
                  <c:v>1.9999999999924682</c:v>
                </c:pt>
                <c:pt idx="215">
                  <c:v>2.0000000000037659</c:v>
                </c:pt>
                <c:pt idx="216">
                  <c:v>1.9999999999981526</c:v>
                </c:pt>
                <c:pt idx="217">
                  <c:v>2.0000000000037659</c:v>
                </c:pt>
                <c:pt idx="218">
                  <c:v>1.9999999999924682</c:v>
                </c:pt>
                <c:pt idx="219">
                  <c:v>2.0000000000095213</c:v>
                </c:pt>
                <c:pt idx="220">
                  <c:v>1.9999999999923972</c:v>
                </c:pt>
                <c:pt idx="221">
                  <c:v>2.0000000000038369</c:v>
                </c:pt>
                <c:pt idx="222">
                  <c:v>1.9999999999980815</c:v>
                </c:pt>
                <c:pt idx="223">
                  <c:v>1.9999999999981526</c:v>
                </c:pt>
                <c:pt idx="224">
                  <c:v>2.0000000000038369</c:v>
                </c:pt>
                <c:pt idx="225">
                  <c:v>1.9999999999980815</c:v>
                </c:pt>
                <c:pt idx="226">
                  <c:v>2.0000000000038369</c:v>
                </c:pt>
                <c:pt idx="227">
                  <c:v>1.9999999999923972</c:v>
                </c:pt>
                <c:pt idx="228">
                  <c:v>2.0000000000038369</c:v>
                </c:pt>
                <c:pt idx="229">
                  <c:v>2.0000000000095213</c:v>
                </c:pt>
                <c:pt idx="230">
                  <c:v>1.9999999999867129</c:v>
                </c:pt>
                <c:pt idx="231">
                  <c:v>2.0000000000095213</c:v>
                </c:pt>
                <c:pt idx="232">
                  <c:v>1.9999999999867129</c:v>
                </c:pt>
                <c:pt idx="233">
                  <c:v>2.0000000000095213</c:v>
                </c:pt>
                <c:pt idx="234">
                  <c:v>1.9999999999981526</c:v>
                </c:pt>
                <c:pt idx="235">
                  <c:v>1.9999999999980815</c:v>
                </c:pt>
                <c:pt idx="236">
                  <c:v>2.0000000000095213</c:v>
                </c:pt>
                <c:pt idx="237">
                  <c:v>1.9999999999867129</c:v>
                </c:pt>
                <c:pt idx="238">
                  <c:v>2.0000000000095213</c:v>
                </c:pt>
                <c:pt idx="239">
                  <c:v>1.9999999999981526</c:v>
                </c:pt>
                <c:pt idx="240">
                  <c:v>1.9999999999980815</c:v>
                </c:pt>
                <c:pt idx="241">
                  <c:v>1.9999999999981526</c:v>
                </c:pt>
                <c:pt idx="242">
                  <c:v>2.0000000000094502</c:v>
                </c:pt>
                <c:pt idx="243">
                  <c:v>1.9999999999867839</c:v>
                </c:pt>
                <c:pt idx="244">
                  <c:v>2.0000000000095213</c:v>
                </c:pt>
                <c:pt idx="245">
                  <c:v>1.9999999999980815</c:v>
                </c:pt>
                <c:pt idx="246">
                  <c:v>1.9999999999981526</c:v>
                </c:pt>
                <c:pt idx="247">
                  <c:v>1.9999999999980815</c:v>
                </c:pt>
                <c:pt idx="248">
                  <c:v>1.9999999999981526</c:v>
                </c:pt>
                <c:pt idx="249">
                  <c:v>2.0000000000095213</c:v>
                </c:pt>
                <c:pt idx="250">
                  <c:v>1.9999999999980815</c:v>
                </c:pt>
                <c:pt idx="251">
                  <c:v>1.9999999999867839</c:v>
                </c:pt>
                <c:pt idx="252">
                  <c:v>2.0000000000094502</c:v>
                </c:pt>
                <c:pt idx="253">
                  <c:v>2.0000000000095213</c:v>
                </c:pt>
                <c:pt idx="254">
                  <c:v>1.9999999999867839</c:v>
                </c:pt>
                <c:pt idx="255">
                  <c:v>1.9999999999980815</c:v>
                </c:pt>
                <c:pt idx="256">
                  <c:v>2.0000000000095213</c:v>
                </c:pt>
                <c:pt idx="257">
                  <c:v>1.9999999999980815</c:v>
                </c:pt>
                <c:pt idx="258">
                  <c:v>1.9999999999981526</c:v>
                </c:pt>
                <c:pt idx="259">
                  <c:v>1.9999999999981526</c:v>
                </c:pt>
                <c:pt idx="260">
                  <c:v>2.0000000000094502</c:v>
                </c:pt>
                <c:pt idx="261">
                  <c:v>1.9999999999867839</c:v>
                </c:pt>
                <c:pt idx="262">
                  <c:v>2.0000000000094502</c:v>
                </c:pt>
                <c:pt idx="263">
                  <c:v>1.9999999999981526</c:v>
                </c:pt>
                <c:pt idx="264">
                  <c:v>1.9999999999981526</c:v>
                </c:pt>
                <c:pt idx="265">
                  <c:v>1.9999999999980815</c:v>
                </c:pt>
                <c:pt idx="266">
                  <c:v>1.9999999999981526</c:v>
                </c:pt>
                <c:pt idx="267">
                  <c:v>2.0000000000094502</c:v>
                </c:pt>
                <c:pt idx="268">
                  <c:v>1.9999999999867839</c:v>
                </c:pt>
                <c:pt idx="269">
                  <c:v>2.0000000000095213</c:v>
                </c:pt>
                <c:pt idx="270">
                  <c:v>1.9999999999980815</c:v>
                </c:pt>
                <c:pt idx="271">
                  <c:v>1.9999999999981526</c:v>
                </c:pt>
                <c:pt idx="272">
                  <c:v>1.9999999999980815</c:v>
                </c:pt>
                <c:pt idx="273">
                  <c:v>2.0000000000095213</c:v>
                </c:pt>
                <c:pt idx="274">
                  <c:v>1.9999999999981526</c:v>
                </c:pt>
                <c:pt idx="275">
                  <c:v>1.9999999999867129</c:v>
                </c:pt>
                <c:pt idx="276">
                  <c:v>2.0000000000095213</c:v>
                </c:pt>
                <c:pt idx="277">
                  <c:v>2.0000000000094502</c:v>
                </c:pt>
                <c:pt idx="278">
                  <c:v>1.9999999999867839</c:v>
                </c:pt>
                <c:pt idx="279">
                  <c:v>1.9999999999981526</c:v>
                </c:pt>
                <c:pt idx="280">
                  <c:v>2.0000000000094502</c:v>
                </c:pt>
                <c:pt idx="281">
                  <c:v>1.9999999999981526</c:v>
                </c:pt>
                <c:pt idx="282">
                  <c:v>1.9999999999980815</c:v>
                </c:pt>
                <c:pt idx="283">
                  <c:v>1.9999999999981526</c:v>
                </c:pt>
                <c:pt idx="284">
                  <c:v>1.9999999999981526</c:v>
                </c:pt>
                <c:pt idx="285">
                  <c:v>2.0000000000094502</c:v>
                </c:pt>
                <c:pt idx="286">
                  <c:v>1.9999999999867839</c:v>
                </c:pt>
                <c:pt idx="287">
                  <c:v>2.0000000000094502</c:v>
                </c:pt>
                <c:pt idx="288">
                  <c:v>1.9999999999981526</c:v>
                </c:pt>
                <c:pt idx="289">
                  <c:v>1.9999999999981526</c:v>
                </c:pt>
                <c:pt idx="290">
                  <c:v>1.9999999999980815</c:v>
                </c:pt>
                <c:pt idx="291">
                  <c:v>2.0000000000095213</c:v>
                </c:pt>
                <c:pt idx="292">
                  <c:v>1.9999999999980815</c:v>
                </c:pt>
                <c:pt idx="293">
                  <c:v>1.9999999999867839</c:v>
                </c:pt>
                <c:pt idx="294">
                  <c:v>2.0000000000095213</c:v>
                </c:pt>
                <c:pt idx="295">
                  <c:v>1.9999999999980815</c:v>
                </c:pt>
                <c:pt idx="296">
                  <c:v>2.0000000000095213</c:v>
                </c:pt>
                <c:pt idx="297">
                  <c:v>1.9999999999867129</c:v>
                </c:pt>
                <c:pt idx="298">
                  <c:v>2.0000000000095213</c:v>
                </c:pt>
                <c:pt idx="299">
                  <c:v>1.9999999999981526</c:v>
                </c:pt>
                <c:pt idx="300">
                  <c:v>1.9999999999867129</c:v>
                </c:pt>
                <c:pt idx="301">
                  <c:v>2.00000000002089</c:v>
                </c:pt>
                <c:pt idx="302">
                  <c:v>1.9999999999867129</c:v>
                </c:pt>
                <c:pt idx="303">
                  <c:v>1.9999999999981526</c:v>
                </c:pt>
                <c:pt idx="304">
                  <c:v>2.0000000000095213</c:v>
                </c:pt>
                <c:pt idx="305">
                  <c:v>1.9999999999980815</c:v>
                </c:pt>
                <c:pt idx="306">
                  <c:v>1.9999999999981526</c:v>
                </c:pt>
                <c:pt idx="307">
                  <c:v>1.9999999999980815</c:v>
                </c:pt>
                <c:pt idx="308">
                  <c:v>1.9999999999981526</c:v>
                </c:pt>
                <c:pt idx="309">
                  <c:v>1.9999999999981526</c:v>
                </c:pt>
                <c:pt idx="310">
                  <c:v>2.0000000000094502</c:v>
                </c:pt>
                <c:pt idx="311">
                  <c:v>1.9999999999981526</c:v>
                </c:pt>
                <c:pt idx="312">
                  <c:v>1.9999999999980815</c:v>
                </c:pt>
                <c:pt idx="313">
                  <c:v>1.9999999999981526</c:v>
                </c:pt>
                <c:pt idx="314">
                  <c:v>1.9999999999981526</c:v>
                </c:pt>
                <c:pt idx="315">
                  <c:v>1.9999999999980815</c:v>
                </c:pt>
                <c:pt idx="316">
                  <c:v>2.0000000000095213</c:v>
                </c:pt>
                <c:pt idx="317">
                  <c:v>1.9999999999980815</c:v>
                </c:pt>
                <c:pt idx="318">
                  <c:v>1.9999999999981526</c:v>
                </c:pt>
                <c:pt idx="319">
                  <c:v>1.9999999999981526</c:v>
                </c:pt>
                <c:pt idx="320">
                  <c:v>1.9999999999980815</c:v>
                </c:pt>
                <c:pt idx="321">
                  <c:v>1.9999999999981526</c:v>
                </c:pt>
                <c:pt idx="322">
                  <c:v>1.9999999999981526</c:v>
                </c:pt>
                <c:pt idx="323">
                  <c:v>2.00000000002089</c:v>
                </c:pt>
                <c:pt idx="324">
                  <c:v>1.9999999999752731</c:v>
                </c:pt>
                <c:pt idx="325">
                  <c:v>2.00000000002089</c:v>
                </c:pt>
                <c:pt idx="326">
                  <c:v>1.9999999999754152</c:v>
                </c:pt>
                <c:pt idx="327">
                  <c:v>2.00000000002089</c:v>
                </c:pt>
                <c:pt idx="328">
                  <c:v>1.9999999999980105</c:v>
                </c:pt>
                <c:pt idx="329">
                  <c:v>1.9999999999981526</c:v>
                </c:pt>
                <c:pt idx="330">
                  <c:v>1.9999999999981526</c:v>
                </c:pt>
                <c:pt idx="331">
                  <c:v>1.9999999999981526</c:v>
                </c:pt>
                <c:pt idx="332">
                  <c:v>1.9999999999981526</c:v>
                </c:pt>
                <c:pt idx="333">
                  <c:v>1.9999999999981526</c:v>
                </c:pt>
                <c:pt idx="334">
                  <c:v>1.9999999999980105</c:v>
                </c:pt>
                <c:pt idx="335">
                  <c:v>2.00000000002089</c:v>
                </c:pt>
                <c:pt idx="336">
                  <c:v>1.9999999999754152</c:v>
                </c:pt>
                <c:pt idx="337">
                  <c:v>2.00000000002089</c:v>
                </c:pt>
                <c:pt idx="338">
                  <c:v>1.9999999999752731</c:v>
                </c:pt>
                <c:pt idx="339">
                  <c:v>2.00000000002089</c:v>
                </c:pt>
                <c:pt idx="340">
                  <c:v>1.9999999999981526</c:v>
                </c:pt>
                <c:pt idx="341">
                  <c:v>1.9999999999981526</c:v>
                </c:pt>
                <c:pt idx="342">
                  <c:v>1.9999999999981526</c:v>
                </c:pt>
                <c:pt idx="343">
                  <c:v>1.9999999999981526</c:v>
                </c:pt>
                <c:pt idx="344">
                  <c:v>1.9999999999980105</c:v>
                </c:pt>
                <c:pt idx="345">
                  <c:v>1.9999999999981526</c:v>
                </c:pt>
                <c:pt idx="346">
                  <c:v>1.9999999999981526</c:v>
                </c:pt>
                <c:pt idx="347">
                  <c:v>1.9999999999981526</c:v>
                </c:pt>
                <c:pt idx="348">
                  <c:v>2.0000000000207478</c:v>
                </c:pt>
                <c:pt idx="349">
                  <c:v>1.9999999999754152</c:v>
                </c:pt>
                <c:pt idx="350">
                  <c:v>2.00000000002089</c:v>
                </c:pt>
                <c:pt idx="351">
                  <c:v>1.9999999999981526</c:v>
                </c:pt>
                <c:pt idx="352">
                  <c:v>1.9999999999754152</c:v>
                </c:pt>
                <c:pt idx="353">
                  <c:v>2.00000000002089</c:v>
                </c:pt>
                <c:pt idx="354">
                  <c:v>1.9999999999980105</c:v>
                </c:pt>
                <c:pt idx="355">
                  <c:v>1.9999999999981526</c:v>
                </c:pt>
                <c:pt idx="356">
                  <c:v>1.9999999999981526</c:v>
                </c:pt>
                <c:pt idx="357">
                  <c:v>1.9999999999981526</c:v>
                </c:pt>
                <c:pt idx="358">
                  <c:v>2.0000000000207478</c:v>
                </c:pt>
                <c:pt idx="359">
                  <c:v>1.9999999999754152</c:v>
                </c:pt>
                <c:pt idx="360">
                  <c:v>1.9999999999981526</c:v>
                </c:pt>
                <c:pt idx="361">
                  <c:v>2.00000000002089</c:v>
                </c:pt>
                <c:pt idx="362">
                  <c:v>1.9999999999981526</c:v>
                </c:pt>
                <c:pt idx="363">
                  <c:v>1.9999999999754152</c:v>
                </c:pt>
                <c:pt idx="364">
                  <c:v>2.0000000000207478</c:v>
                </c:pt>
                <c:pt idx="365">
                  <c:v>1.9999999999981526</c:v>
                </c:pt>
                <c:pt idx="366">
                  <c:v>1.9999999999981526</c:v>
                </c:pt>
                <c:pt idx="367">
                  <c:v>1.9999999999981526</c:v>
                </c:pt>
                <c:pt idx="368">
                  <c:v>1.9999999999980105</c:v>
                </c:pt>
                <c:pt idx="369">
                  <c:v>1.9999999999981526</c:v>
                </c:pt>
                <c:pt idx="370">
                  <c:v>1.9999999999981526</c:v>
                </c:pt>
                <c:pt idx="371">
                  <c:v>2.00000000002089</c:v>
                </c:pt>
                <c:pt idx="372">
                  <c:v>1.9999999999754152</c:v>
                </c:pt>
                <c:pt idx="373">
                  <c:v>1.9999999999981526</c:v>
                </c:pt>
                <c:pt idx="374">
                  <c:v>2.0000000000207478</c:v>
                </c:pt>
                <c:pt idx="375">
                  <c:v>1.9999999999981526</c:v>
                </c:pt>
                <c:pt idx="376">
                  <c:v>1.9999999999754152</c:v>
                </c:pt>
                <c:pt idx="377">
                  <c:v>2.00000000002089</c:v>
                </c:pt>
                <c:pt idx="378">
                  <c:v>1.9999999999980105</c:v>
                </c:pt>
                <c:pt idx="379">
                  <c:v>1.9999999999981526</c:v>
                </c:pt>
                <c:pt idx="380">
                  <c:v>1.9999999999981526</c:v>
                </c:pt>
                <c:pt idx="381">
                  <c:v>1.9999999999981526</c:v>
                </c:pt>
                <c:pt idx="382">
                  <c:v>2.00000000002089</c:v>
                </c:pt>
                <c:pt idx="383">
                  <c:v>1.9999999999754152</c:v>
                </c:pt>
                <c:pt idx="384">
                  <c:v>1.9999999999980105</c:v>
                </c:pt>
                <c:pt idx="385">
                  <c:v>2.00000000002089</c:v>
                </c:pt>
                <c:pt idx="386">
                  <c:v>1.9999999999754152</c:v>
                </c:pt>
                <c:pt idx="387">
                  <c:v>2.00000000002089</c:v>
                </c:pt>
                <c:pt idx="388">
                  <c:v>1.9999999999980105</c:v>
                </c:pt>
                <c:pt idx="389">
                  <c:v>1.9999999999981526</c:v>
                </c:pt>
                <c:pt idx="390">
                  <c:v>1.9999999999981526</c:v>
                </c:pt>
                <c:pt idx="391">
                  <c:v>1.9999999999754152</c:v>
                </c:pt>
                <c:pt idx="392">
                  <c:v>2.0000000000436273</c:v>
                </c:pt>
                <c:pt idx="393">
                  <c:v>1.9999999999754152</c:v>
                </c:pt>
                <c:pt idx="394">
                  <c:v>1.9999999999980105</c:v>
                </c:pt>
                <c:pt idx="395">
                  <c:v>1.9999999999981526</c:v>
                </c:pt>
                <c:pt idx="396">
                  <c:v>2.00000000002089</c:v>
                </c:pt>
                <c:pt idx="397">
                  <c:v>1.9999999999754152</c:v>
                </c:pt>
                <c:pt idx="398">
                  <c:v>2.0000000000207478</c:v>
                </c:pt>
                <c:pt idx="399">
                  <c:v>1.9999999999754152</c:v>
                </c:pt>
                <c:pt idx="400">
                  <c:v>2.00000000002089</c:v>
                </c:pt>
                <c:pt idx="401">
                  <c:v>1.9999999999981526</c:v>
                </c:pt>
                <c:pt idx="402">
                  <c:v>1.9999999999981526</c:v>
                </c:pt>
                <c:pt idx="403">
                  <c:v>1.9999999999981526</c:v>
                </c:pt>
                <c:pt idx="404">
                  <c:v>1.9999999999980105</c:v>
                </c:pt>
                <c:pt idx="405">
                  <c:v>1.9999999999981526</c:v>
                </c:pt>
                <c:pt idx="406">
                  <c:v>1.9999999999981526</c:v>
                </c:pt>
                <c:pt idx="407">
                  <c:v>1.9999999999981526</c:v>
                </c:pt>
                <c:pt idx="408">
                  <c:v>2.0000000000207478</c:v>
                </c:pt>
                <c:pt idx="409">
                  <c:v>1.9999999999754152</c:v>
                </c:pt>
                <c:pt idx="410">
                  <c:v>2.00000000002089</c:v>
                </c:pt>
                <c:pt idx="411">
                  <c:v>1.9999999999754152</c:v>
                </c:pt>
                <c:pt idx="412">
                  <c:v>2.00000000002089</c:v>
                </c:pt>
                <c:pt idx="413">
                  <c:v>1.9999999999981526</c:v>
                </c:pt>
                <c:pt idx="414">
                  <c:v>1.9999999999980105</c:v>
                </c:pt>
                <c:pt idx="415">
                  <c:v>1.9999999999981526</c:v>
                </c:pt>
                <c:pt idx="416">
                  <c:v>1.9999999999981526</c:v>
                </c:pt>
                <c:pt idx="417">
                  <c:v>1.9999999999981526</c:v>
                </c:pt>
                <c:pt idx="418">
                  <c:v>1.9999999999980105</c:v>
                </c:pt>
                <c:pt idx="419">
                  <c:v>1.9999999999981526</c:v>
                </c:pt>
                <c:pt idx="420">
                  <c:v>2.00000000002089</c:v>
                </c:pt>
                <c:pt idx="421">
                  <c:v>1.9999999999754152</c:v>
                </c:pt>
                <c:pt idx="422">
                  <c:v>2.00000000002089</c:v>
                </c:pt>
                <c:pt idx="423">
                  <c:v>1.9999999999754152</c:v>
                </c:pt>
                <c:pt idx="424">
                  <c:v>2.0000000000207478</c:v>
                </c:pt>
                <c:pt idx="425">
                  <c:v>1.9999999999981526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1E-43CB-9873-7287B15FF426}"/>
            </c:ext>
          </c:extLst>
        </c:ser>
        <c:ser>
          <c:idx val="1"/>
          <c:order val="1"/>
          <c:tx>
            <c:strRef>
              <c:f>Plan1!$I$21</c:f>
              <c:strCache>
                <c:ptCount val="1"/>
                <c:pt idx="0">
                  <c:v>aônibus</c:v>
                </c:pt>
              </c:strCache>
            </c:strRef>
          </c:tx>
          <c:marker>
            <c:symbol val="none"/>
          </c:marker>
          <c:xVal>
            <c:numRef>
              <c:f>Plan1!$A$22:$A$447</c:f>
              <c:numCache>
                <c:formatCode>General</c:formatCode>
                <c:ptCount val="42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</c:numCache>
            </c:numRef>
          </c:xVal>
          <c:yVal>
            <c:numRef>
              <c:f>Plan1!$I$22:$I$447</c:f>
              <c:numCache>
                <c:formatCode>General</c:formatCode>
                <c:ptCount val="426"/>
                <c:pt idx="2">
                  <c:v>0</c:v>
                </c:pt>
                <c:pt idx="3">
                  <c:v>-3.5527136788004997E-14</c:v>
                </c:pt>
                <c:pt idx="4">
                  <c:v>1.0658141036401505E-13</c:v>
                </c:pt>
                <c:pt idx="5">
                  <c:v>-1.0658141036401505E-13</c:v>
                </c:pt>
                <c:pt idx="6">
                  <c:v>0</c:v>
                </c:pt>
                <c:pt idx="7">
                  <c:v>0</c:v>
                </c:pt>
                <c:pt idx="8">
                  <c:v>1.776356839400251E-13</c:v>
                </c:pt>
                <c:pt idx="9">
                  <c:v>-1.776356839400251E-13</c:v>
                </c:pt>
                <c:pt idx="10">
                  <c:v>-1.776356839400251E-13</c:v>
                </c:pt>
                <c:pt idx="11">
                  <c:v>3.5527136788005019E-13</c:v>
                </c:pt>
                <c:pt idx="12">
                  <c:v>-1.776356839400249E-13</c:v>
                </c:pt>
                <c:pt idx="13">
                  <c:v>0</c:v>
                </c:pt>
                <c:pt idx="14">
                  <c:v>0</c:v>
                </c:pt>
                <c:pt idx="15">
                  <c:v>3.5527136788004979E-13</c:v>
                </c:pt>
                <c:pt idx="16">
                  <c:v>-3.5527136788004979E-13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3.5527136788004979E-13</c:v>
                </c:pt>
                <c:pt idx="22">
                  <c:v>-7.1054273576009958E-13</c:v>
                </c:pt>
                <c:pt idx="23">
                  <c:v>7.1054273576009958E-13</c:v>
                </c:pt>
                <c:pt idx="24">
                  <c:v>-7.1054273576009958E-13</c:v>
                </c:pt>
                <c:pt idx="25">
                  <c:v>7.1054273576009958E-13</c:v>
                </c:pt>
                <c:pt idx="26">
                  <c:v>-7.1054273576009958E-13</c:v>
                </c:pt>
                <c:pt idx="27">
                  <c:v>7.1054273576009958E-13</c:v>
                </c:pt>
                <c:pt idx="28">
                  <c:v>0</c:v>
                </c:pt>
                <c:pt idx="29">
                  <c:v>-7.1054273576009958E-13</c:v>
                </c:pt>
                <c:pt idx="30">
                  <c:v>7.1054273576009958E-13</c:v>
                </c:pt>
                <c:pt idx="31">
                  <c:v>-7.1054273576009958E-13</c:v>
                </c:pt>
                <c:pt idx="32">
                  <c:v>7.1054273576009958E-13</c:v>
                </c:pt>
                <c:pt idx="33">
                  <c:v>-7.1054273576009958E-13</c:v>
                </c:pt>
                <c:pt idx="34">
                  <c:v>7.1054273576009958E-13</c:v>
                </c:pt>
                <c:pt idx="35">
                  <c:v>-7.1054273576009958E-13</c:v>
                </c:pt>
                <c:pt idx="36">
                  <c:v>7.1054273576009958E-13</c:v>
                </c:pt>
                <c:pt idx="37">
                  <c:v>0</c:v>
                </c:pt>
                <c:pt idx="38">
                  <c:v>-7.1054273576009958E-13</c:v>
                </c:pt>
                <c:pt idx="39">
                  <c:v>7.1054273576009958E-13</c:v>
                </c:pt>
                <c:pt idx="40">
                  <c:v>-6.750155989720976E-13</c:v>
                </c:pt>
                <c:pt idx="41">
                  <c:v>0</c:v>
                </c:pt>
                <c:pt idx="42">
                  <c:v>1.4210854715202054E-12</c:v>
                </c:pt>
                <c:pt idx="43">
                  <c:v>-1.4210854715202054E-12</c:v>
                </c:pt>
                <c:pt idx="44">
                  <c:v>0</c:v>
                </c:pt>
                <c:pt idx="45">
                  <c:v>0</c:v>
                </c:pt>
                <c:pt idx="46">
                  <c:v>1.4210854715202054E-12</c:v>
                </c:pt>
                <c:pt idx="47">
                  <c:v>-1.4210854715202054E-12</c:v>
                </c:pt>
                <c:pt idx="48">
                  <c:v>0</c:v>
                </c:pt>
                <c:pt idx="49">
                  <c:v>0</c:v>
                </c:pt>
                <c:pt idx="50">
                  <c:v>1.4210854715202054E-12</c:v>
                </c:pt>
                <c:pt idx="51">
                  <c:v>-1.4210854715202054E-12</c:v>
                </c:pt>
                <c:pt idx="52">
                  <c:v>0</c:v>
                </c:pt>
                <c:pt idx="53">
                  <c:v>0</c:v>
                </c:pt>
                <c:pt idx="54">
                  <c:v>1.4210854715202054E-12</c:v>
                </c:pt>
                <c:pt idx="55">
                  <c:v>-1.4210854715202054E-12</c:v>
                </c:pt>
                <c:pt idx="56">
                  <c:v>0</c:v>
                </c:pt>
                <c:pt idx="57">
                  <c:v>0</c:v>
                </c:pt>
                <c:pt idx="58">
                  <c:v>1.4210854715202054E-12</c:v>
                </c:pt>
                <c:pt idx="59">
                  <c:v>-1.4210854715202054E-12</c:v>
                </c:pt>
                <c:pt idx="60">
                  <c:v>0</c:v>
                </c:pt>
                <c:pt idx="61">
                  <c:v>1.4210854715202054E-12</c:v>
                </c:pt>
                <c:pt idx="62">
                  <c:v>-1.4210854715202054E-12</c:v>
                </c:pt>
                <c:pt idx="63">
                  <c:v>0</c:v>
                </c:pt>
                <c:pt idx="64">
                  <c:v>0</c:v>
                </c:pt>
                <c:pt idx="65">
                  <c:v>1.4210854715202054E-12</c:v>
                </c:pt>
                <c:pt idx="66">
                  <c:v>-1.4210854715202054E-12</c:v>
                </c:pt>
                <c:pt idx="67">
                  <c:v>0</c:v>
                </c:pt>
                <c:pt idx="68">
                  <c:v>0</c:v>
                </c:pt>
                <c:pt idx="69">
                  <c:v>1.4210854715202054E-12</c:v>
                </c:pt>
                <c:pt idx="70">
                  <c:v>-1.4210854715202054E-12</c:v>
                </c:pt>
                <c:pt idx="71">
                  <c:v>0</c:v>
                </c:pt>
                <c:pt idx="72">
                  <c:v>0</c:v>
                </c:pt>
                <c:pt idx="73">
                  <c:v>1.4210854715202054E-12</c:v>
                </c:pt>
                <c:pt idx="74">
                  <c:v>-1.4210854715202054E-12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2.8421709430404108E-12</c:v>
                </c:pt>
                <c:pt idx="80">
                  <c:v>-2.8421709430404108E-12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2.8421709430404108E-12</c:v>
                </c:pt>
                <c:pt idx="88">
                  <c:v>-2.8421709430404108E-12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2.8421709430404108E-12</c:v>
                </c:pt>
                <c:pt idx="95">
                  <c:v>-2.8421709430404108E-12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2.8421709430404108E-12</c:v>
                </c:pt>
                <c:pt idx="103">
                  <c:v>-2.8421709430404108E-12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2.8421709430404108E-12</c:v>
                </c:pt>
                <c:pt idx="111">
                  <c:v>-2.8421709430404108E-12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2.8421709430404108E-12</c:v>
                </c:pt>
                <c:pt idx="119">
                  <c:v>-2.8421709430404108E-12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2.8421709430404108E-12</c:v>
                </c:pt>
                <c:pt idx="126">
                  <c:v>-2.8421709430404108E-12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2.8421709430404108E-12</c:v>
                </c:pt>
                <c:pt idx="134">
                  <c:v>-2.8421709430404108E-12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2.8421709430404108E-12</c:v>
                </c:pt>
                <c:pt idx="142">
                  <c:v>-2.8421709430404108E-12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2.8421709430404108E-12</c:v>
                </c:pt>
                <c:pt idx="150">
                  <c:v>-2.8421709430404108E-12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2.8421709430404108E-12</c:v>
                </c:pt>
                <c:pt idx="155">
                  <c:v>-5.6843418860808217E-12</c:v>
                </c:pt>
                <c:pt idx="156">
                  <c:v>5.6843418860808217E-12</c:v>
                </c:pt>
                <c:pt idx="157">
                  <c:v>-5.6843418860808217E-12</c:v>
                </c:pt>
                <c:pt idx="158">
                  <c:v>5.6843418860808217E-12</c:v>
                </c:pt>
                <c:pt idx="159">
                  <c:v>-5.6843418860808217E-12</c:v>
                </c:pt>
                <c:pt idx="160">
                  <c:v>5.6843418860808217E-12</c:v>
                </c:pt>
                <c:pt idx="161">
                  <c:v>0</c:v>
                </c:pt>
                <c:pt idx="162">
                  <c:v>-2.9842794901923784E-12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5.6843418860807207E-12</c:v>
                </c:pt>
                <c:pt idx="173">
                  <c:v>-5.6843418860807207E-12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5.6843418860807207E-12</c:v>
                </c:pt>
                <c:pt idx="185">
                  <c:v>-5.6843418860807207E-12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5.6843418860807207E-12</c:v>
                </c:pt>
                <c:pt idx="197">
                  <c:v>-5.6843418860807207E-12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5.6843418860807207E-12</c:v>
                </c:pt>
                <c:pt idx="208">
                  <c:v>-5.6843418860807207E-12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5.6843418860807207E-12</c:v>
                </c:pt>
                <c:pt idx="220">
                  <c:v>-5.6843418860807207E-12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5.6843418860807207E-12</c:v>
                </c:pt>
                <c:pt idx="232">
                  <c:v>-5.6843418860807207E-12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5.6843418860807207E-12</c:v>
                </c:pt>
                <c:pt idx="243">
                  <c:v>-5.6843418860807207E-12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5.6843418860807207E-12</c:v>
                </c:pt>
                <c:pt idx="255">
                  <c:v>-5.6843418860807207E-12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5.6843418860807207E-12</c:v>
                </c:pt>
                <c:pt idx="267">
                  <c:v>-5.6843418860807207E-12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5.6843418860807207E-12</c:v>
                </c:pt>
                <c:pt idx="279">
                  <c:v>-5.6843418860807207E-12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5.6843418860807207E-12</c:v>
                </c:pt>
                <c:pt idx="290">
                  <c:v>-5.6843418860807207E-12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5.6843418860807207E-12</c:v>
                </c:pt>
                <c:pt idx="302">
                  <c:v>-5.6843418860807207E-12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5.6843418860807207E-12</c:v>
                </c:pt>
                <c:pt idx="309">
                  <c:v>-1.1368683772161441E-11</c:v>
                </c:pt>
                <c:pt idx="310">
                  <c:v>1.1368683772161441E-11</c:v>
                </c:pt>
                <c:pt idx="311">
                  <c:v>-1.1368683772161441E-11</c:v>
                </c:pt>
                <c:pt idx="312">
                  <c:v>1.1368683772161441E-11</c:v>
                </c:pt>
                <c:pt idx="313">
                  <c:v>-1.1368683772161441E-11</c:v>
                </c:pt>
                <c:pt idx="314">
                  <c:v>1.1368683772161441E-11</c:v>
                </c:pt>
                <c:pt idx="315">
                  <c:v>-1.1368683772161441E-11</c:v>
                </c:pt>
                <c:pt idx="316">
                  <c:v>1.1368683772161441E-11</c:v>
                </c:pt>
                <c:pt idx="317">
                  <c:v>-1.1368683772161441E-11</c:v>
                </c:pt>
                <c:pt idx="318">
                  <c:v>1.1368683772161441E-11</c:v>
                </c:pt>
                <c:pt idx="319">
                  <c:v>0</c:v>
                </c:pt>
                <c:pt idx="320">
                  <c:v>-1.1368683772161441E-11</c:v>
                </c:pt>
                <c:pt idx="321">
                  <c:v>1.1368683772161441E-11</c:v>
                </c:pt>
                <c:pt idx="322">
                  <c:v>-1.1368683772161441E-11</c:v>
                </c:pt>
                <c:pt idx="323">
                  <c:v>1.1368683772161441E-11</c:v>
                </c:pt>
                <c:pt idx="324">
                  <c:v>-1.1368683772161441E-11</c:v>
                </c:pt>
                <c:pt idx="325">
                  <c:v>1.1368683772161441E-11</c:v>
                </c:pt>
                <c:pt idx="326">
                  <c:v>-1.1368683772161441E-11</c:v>
                </c:pt>
                <c:pt idx="327">
                  <c:v>1.1368683772161441E-11</c:v>
                </c:pt>
                <c:pt idx="328">
                  <c:v>-1.1368683772161441E-11</c:v>
                </c:pt>
                <c:pt idx="329">
                  <c:v>1.1368683772161441E-11</c:v>
                </c:pt>
                <c:pt idx="330">
                  <c:v>0</c:v>
                </c:pt>
                <c:pt idx="331">
                  <c:v>-1.1368683772161441E-11</c:v>
                </c:pt>
                <c:pt idx="332">
                  <c:v>1.1368683772161441E-11</c:v>
                </c:pt>
                <c:pt idx="333">
                  <c:v>-1.1368683772161441E-11</c:v>
                </c:pt>
                <c:pt idx="334">
                  <c:v>1.1368683772161441E-11</c:v>
                </c:pt>
                <c:pt idx="335">
                  <c:v>-1.1368683772161441E-11</c:v>
                </c:pt>
                <c:pt idx="336">
                  <c:v>1.1368683772161441E-11</c:v>
                </c:pt>
                <c:pt idx="337">
                  <c:v>-1.1368683772161441E-11</c:v>
                </c:pt>
                <c:pt idx="338">
                  <c:v>1.1368683772161441E-11</c:v>
                </c:pt>
                <c:pt idx="339">
                  <c:v>-1.1368683772161441E-11</c:v>
                </c:pt>
                <c:pt idx="340">
                  <c:v>1.1368683772161441E-11</c:v>
                </c:pt>
                <c:pt idx="341">
                  <c:v>-1.1368683772161441E-11</c:v>
                </c:pt>
                <c:pt idx="342">
                  <c:v>1.1368683772161441E-11</c:v>
                </c:pt>
                <c:pt idx="343">
                  <c:v>0</c:v>
                </c:pt>
                <c:pt idx="344">
                  <c:v>-1.1368683772161441E-11</c:v>
                </c:pt>
                <c:pt idx="345">
                  <c:v>1.1368683772161441E-11</c:v>
                </c:pt>
                <c:pt idx="346">
                  <c:v>-1.1368683772161441E-11</c:v>
                </c:pt>
                <c:pt idx="347">
                  <c:v>1.1368683772161441E-11</c:v>
                </c:pt>
                <c:pt idx="348">
                  <c:v>-1.1368683772161441E-11</c:v>
                </c:pt>
                <c:pt idx="349">
                  <c:v>1.1368683772161441E-11</c:v>
                </c:pt>
                <c:pt idx="350">
                  <c:v>-1.1368683772161441E-11</c:v>
                </c:pt>
                <c:pt idx="351">
                  <c:v>1.1368683772161441E-11</c:v>
                </c:pt>
                <c:pt idx="352">
                  <c:v>-1.1368683772161441E-11</c:v>
                </c:pt>
                <c:pt idx="353">
                  <c:v>1.1368683772161441E-11</c:v>
                </c:pt>
                <c:pt idx="354">
                  <c:v>0</c:v>
                </c:pt>
                <c:pt idx="355">
                  <c:v>-1.1368683772161441E-11</c:v>
                </c:pt>
                <c:pt idx="356">
                  <c:v>1.1368683772161441E-11</c:v>
                </c:pt>
                <c:pt idx="357">
                  <c:v>-1.1368683772161441E-11</c:v>
                </c:pt>
                <c:pt idx="358">
                  <c:v>1.1368683772161441E-11</c:v>
                </c:pt>
                <c:pt idx="359">
                  <c:v>-1.1368683772161441E-11</c:v>
                </c:pt>
                <c:pt idx="360">
                  <c:v>1.1368683772161441E-11</c:v>
                </c:pt>
                <c:pt idx="361">
                  <c:v>-1.1368683772161441E-11</c:v>
                </c:pt>
                <c:pt idx="362">
                  <c:v>1.1368683772161441E-11</c:v>
                </c:pt>
                <c:pt idx="363">
                  <c:v>-1.1368683772161441E-11</c:v>
                </c:pt>
                <c:pt idx="364">
                  <c:v>1.1368683772161441E-11</c:v>
                </c:pt>
                <c:pt idx="365">
                  <c:v>0</c:v>
                </c:pt>
                <c:pt idx="366">
                  <c:v>-1.1368683772161441E-11</c:v>
                </c:pt>
                <c:pt idx="367">
                  <c:v>1.1368683772161441E-11</c:v>
                </c:pt>
                <c:pt idx="368">
                  <c:v>-1.1368683772161441E-11</c:v>
                </c:pt>
                <c:pt idx="369">
                  <c:v>1.1368683772161441E-11</c:v>
                </c:pt>
                <c:pt idx="370">
                  <c:v>-1.1368683772161441E-11</c:v>
                </c:pt>
                <c:pt idx="371">
                  <c:v>1.1368683772161441E-11</c:v>
                </c:pt>
                <c:pt idx="372">
                  <c:v>-1.1368683772161441E-11</c:v>
                </c:pt>
                <c:pt idx="373">
                  <c:v>1.1368683772161441E-11</c:v>
                </c:pt>
                <c:pt idx="374">
                  <c:v>-1.1368683772161441E-11</c:v>
                </c:pt>
                <c:pt idx="375">
                  <c:v>1.1368683772161441E-11</c:v>
                </c:pt>
                <c:pt idx="376">
                  <c:v>-1.1368683772161441E-11</c:v>
                </c:pt>
                <c:pt idx="377">
                  <c:v>1.1368683772161441E-11</c:v>
                </c:pt>
                <c:pt idx="378">
                  <c:v>0</c:v>
                </c:pt>
                <c:pt idx="379">
                  <c:v>-1.1368683772161441E-11</c:v>
                </c:pt>
                <c:pt idx="380">
                  <c:v>1.1368683772161441E-11</c:v>
                </c:pt>
                <c:pt idx="381">
                  <c:v>-1.1368683772161441E-11</c:v>
                </c:pt>
                <c:pt idx="382">
                  <c:v>1.1368683772161441E-11</c:v>
                </c:pt>
                <c:pt idx="383">
                  <c:v>-1.1368683772161441E-11</c:v>
                </c:pt>
                <c:pt idx="384">
                  <c:v>1.1368683772161441E-11</c:v>
                </c:pt>
                <c:pt idx="385">
                  <c:v>-1.1368683772161441E-11</c:v>
                </c:pt>
                <c:pt idx="386">
                  <c:v>1.1368683772161441E-11</c:v>
                </c:pt>
                <c:pt idx="387">
                  <c:v>-1.1368683772161441E-11</c:v>
                </c:pt>
                <c:pt idx="388">
                  <c:v>1.1368683772161441E-11</c:v>
                </c:pt>
                <c:pt idx="389">
                  <c:v>0</c:v>
                </c:pt>
                <c:pt idx="390">
                  <c:v>-1.1368683772161441E-11</c:v>
                </c:pt>
                <c:pt idx="391">
                  <c:v>1.1368683772161441E-11</c:v>
                </c:pt>
                <c:pt idx="392">
                  <c:v>-1.1368683772161441E-11</c:v>
                </c:pt>
                <c:pt idx="393">
                  <c:v>1.1368683772161441E-11</c:v>
                </c:pt>
                <c:pt idx="394">
                  <c:v>-1.1368683772161441E-11</c:v>
                </c:pt>
                <c:pt idx="395">
                  <c:v>1.1368683772161441E-11</c:v>
                </c:pt>
                <c:pt idx="396">
                  <c:v>-1.1368683772161441E-11</c:v>
                </c:pt>
                <c:pt idx="397">
                  <c:v>1.1368683772161441E-11</c:v>
                </c:pt>
                <c:pt idx="398">
                  <c:v>-1.1368683772161441E-11</c:v>
                </c:pt>
                <c:pt idx="399">
                  <c:v>1.1368683772161441E-11</c:v>
                </c:pt>
                <c:pt idx="400">
                  <c:v>0</c:v>
                </c:pt>
                <c:pt idx="401">
                  <c:v>-1.1368683772161441E-11</c:v>
                </c:pt>
                <c:pt idx="402">
                  <c:v>1.1368683772161441E-11</c:v>
                </c:pt>
                <c:pt idx="403">
                  <c:v>-1.1368683772161441E-11</c:v>
                </c:pt>
                <c:pt idx="404">
                  <c:v>1.1368683772161441E-11</c:v>
                </c:pt>
                <c:pt idx="405">
                  <c:v>-1.1368683772161441E-11</c:v>
                </c:pt>
                <c:pt idx="406">
                  <c:v>1.1368683772161441E-11</c:v>
                </c:pt>
                <c:pt idx="407">
                  <c:v>-1.1368683772161441E-11</c:v>
                </c:pt>
                <c:pt idx="408">
                  <c:v>1.1368683772161441E-11</c:v>
                </c:pt>
                <c:pt idx="409">
                  <c:v>-1.1368683772161441E-11</c:v>
                </c:pt>
                <c:pt idx="410">
                  <c:v>1.1368683772161441E-11</c:v>
                </c:pt>
                <c:pt idx="411">
                  <c:v>-1.1368683772161441E-11</c:v>
                </c:pt>
                <c:pt idx="412">
                  <c:v>1.1368683772161441E-11</c:v>
                </c:pt>
                <c:pt idx="413">
                  <c:v>0</c:v>
                </c:pt>
                <c:pt idx="414">
                  <c:v>-1.1368683772161441E-11</c:v>
                </c:pt>
                <c:pt idx="415">
                  <c:v>1.1368683772161441E-11</c:v>
                </c:pt>
                <c:pt idx="416">
                  <c:v>-1.1368683772161441E-11</c:v>
                </c:pt>
                <c:pt idx="417">
                  <c:v>1.1368683772161441E-11</c:v>
                </c:pt>
                <c:pt idx="418">
                  <c:v>-1.1368683772161441E-11</c:v>
                </c:pt>
                <c:pt idx="419">
                  <c:v>1.1368683772161441E-11</c:v>
                </c:pt>
                <c:pt idx="420">
                  <c:v>-1.1368683772161441E-11</c:v>
                </c:pt>
                <c:pt idx="421">
                  <c:v>1.1368683772161441E-11</c:v>
                </c:pt>
                <c:pt idx="422">
                  <c:v>-1.1368683772161441E-11</c:v>
                </c:pt>
                <c:pt idx="423">
                  <c:v>1.1368683772161441E-11</c:v>
                </c:pt>
                <c:pt idx="424">
                  <c:v>0</c:v>
                </c:pt>
                <c:pt idx="425">
                  <c:v>-1.1368683772161441E-11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1E-43CB-9873-7287B15FF426}"/>
            </c:ext>
          </c:extLst>
        </c:ser>
        <c:axId val="64712704"/>
        <c:axId val="64714240"/>
      </c:scatterChart>
      <c:valAx>
        <c:axId val="64712704"/>
        <c:scaling>
          <c:orientation val="minMax"/>
        </c:scaling>
        <c:axPos val="b"/>
        <c:numFmt formatCode="General" sourceLinked="1"/>
        <c:tickLblPos val="nextTo"/>
        <c:crossAx val="64714240"/>
        <c:crosses val="autoZero"/>
        <c:crossBetween val="midCat"/>
      </c:valAx>
      <c:valAx>
        <c:axId val="64714240"/>
        <c:scaling>
          <c:orientation val="minMax"/>
        </c:scaling>
        <c:axPos val="l"/>
        <c:majorGridlines/>
        <c:numFmt formatCode="General" sourceLinked="1"/>
        <c:tickLblPos val="nextTo"/>
        <c:crossAx val="64712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677068370923662"/>
          <c:y val="0.41179780310645492"/>
          <c:w val="0.21667061438868584"/>
          <c:h val="0.16716029199715543"/>
        </c:manualLayout>
      </c:layout>
    </c:legend>
    <c:plotVisOnly val="1"/>
    <c:dispBlanksAs val="gap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1.9581485761378817E-2"/>
          <c:y val="3.6780997341330418E-2"/>
          <c:w val="0.94547707558860017"/>
          <c:h val="0.93256703353354065"/>
        </c:manualLayout>
      </c:layout>
      <c:scatterChart>
        <c:scatterStyle val="lineMarker"/>
        <c:ser>
          <c:idx val="1"/>
          <c:order val="0"/>
          <c:tx>
            <c:strRef>
              <c:f>Relógio!$B$7</c:f>
              <c:strCache>
                <c:ptCount val="1"/>
                <c:pt idx="0">
                  <c:v>hora</c:v>
                </c:pt>
              </c:strCache>
            </c:strRef>
          </c:tx>
          <c:spPr>
            <a:ln w="53975" cap="rnd">
              <a:solidFill>
                <a:schemeClr val="tx1"/>
              </a:solidFill>
              <a:round/>
              <a:headEnd type="none" w="med" len="med"/>
              <a:tailEnd type="none"/>
            </a:ln>
            <a:effectLst>
              <a:outerShdw blurRad="63500" dist="127000" sx="80000" sy="80000" algn="ctr" rotWithShape="0">
                <a:srgbClr val="000000">
                  <a:alpha val="40000"/>
                </a:srgbClr>
              </a:outerShdw>
            </a:effectLst>
          </c:spPr>
          <c:marker>
            <c:symbol val="none"/>
          </c:marker>
          <c:xVal>
            <c:numRef>
              <c:f>(Relógio!$E$7,Relógio!$G$7)</c:f>
              <c:numCache>
                <c:formatCode>General</c:formatCode>
                <c:ptCount val="2"/>
                <c:pt idx="0">
                  <c:v>0</c:v>
                </c:pt>
                <c:pt idx="1">
                  <c:v>0.48407382018905382</c:v>
                </c:pt>
              </c:numCache>
            </c:numRef>
          </c:xVal>
          <c:yVal>
            <c:numRef>
              <c:f>(Relógio!$F$7,Relógio!$H$7)</c:f>
              <c:numCache>
                <c:formatCode>General</c:formatCode>
                <c:ptCount val="2"/>
                <c:pt idx="0">
                  <c:v>0</c:v>
                </c:pt>
                <c:pt idx="1">
                  <c:v>0.12519000202722097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207-4055-B589-F405A932D1AA}"/>
            </c:ext>
          </c:extLst>
        </c:ser>
        <c:ser>
          <c:idx val="0"/>
          <c:order val="1"/>
          <c:tx>
            <c:strRef>
              <c:f>Relógio!$B$8</c:f>
              <c:strCache>
                <c:ptCount val="1"/>
                <c:pt idx="0">
                  <c:v>minuto</c:v>
                </c:pt>
              </c:strCache>
            </c:strRef>
          </c:tx>
          <c:spPr>
            <a:ln w="41275" cap="rnd">
              <a:solidFill>
                <a:schemeClr val="tx1"/>
              </a:solidFill>
              <a:round/>
            </a:ln>
            <a:effectLst>
              <a:outerShdw blurRad="63500" dist="127000" sx="80000" sy="80000" algn="ctr" rotWithShape="0">
                <a:srgbClr val="000000">
                  <a:alpha val="40000"/>
                </a:srgbClr>
              </a:outerShdw>
            </a:effectLst>
          </c:spPr>
          <c:marker>
            <c:symbol val="none"/>
          </c:marker>
          <c:xVal>
            <c:numRef>
              <c:f>(Relógio!$E$8,Relógio!$G$8)</c:f>
              <c:numCache>
                <c:formatCode>General</c:formatCode>
                <c:ptCount val="2"/>
                <c:pt idx="0">
                  <c:v>0</c:v>
                </c:pt>
                <c:pt idx="1">
                  <c:v>-7.8396347450740117E-2</c:v>
                </c:pt>
              </c:numCache>
            </c:numRef>
          </c:xVal>
          <c:yVal>
            <c:numRef>
              <c:f>(Relógio!$F$8,Relógio!$H$8)</c:f>
              <c:numCache>
                <c:formatCode>General</c:formatCode>
                <c:ptCount val="2"/>
                <c:pt idx="0">
                  <c:v>0</c:v>
                </c:pt>
                <c:pt idx="1">
                  <c:v>-0.74589142152620491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3207-4055-B589-F405A932D1AA}"/>
            </c:ext>
          </c:extLst>
        </c:ser>
        <c:ser>
          <c:idx val="2"/>
          <c:order val="2"/>
          <c:tx>
            <c:strRef>
              <c:f>Relógio!$B$9</c:f>
              <c:strCache>
                <c:ptCount val="1"/>
                <c:pt idx="0">
                  <c:v>segundo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  <a:headEnd w="sm" len="med"/>
              <a:tailEnd w="med" len="med"/>
            </a:ln>
            <a:effectLst>
              <a:outerShdw blurRad="63500" dist="127000" sx="80000" sy="80000" algn="ctr" rotWithShape="0">
                <a:srgbClr val="000000">
                  <a:alpha val="40000"/>
                </a:srgbClr>
              </a:outerShdw>
            </a:effectLst>
          </c:spPr>
          <c:marker>
            <c:symbol val="none"/>
          </c:marker>
          <c:dPt>
            <c:idx val="1"/>
            <c:spPr>
              <a:ln w="19050" cap="flat">
                <a:solidFill>
                  <a:schemeClr val="tx1"/>
                </a:solidFill>
                <a:round/>
                <a:headEnd w="sm" len="med"/>
                <a:tailEnd w="med" len="med"/>
              </a:ln>
              <a:effectLst>
                <a:glow rad="12700">
                  <a:schemeClr val="accent1">
                    <a:alpha val="40000"/>
                  </a:schemeClr>
                </a:glow>
                <a:outerShdw blurRad="63500" dist="127000" sx="80000" sy="80000" algn="ctr" rotWithShape="0">
                  <a:srgbClr val="000000">
                    <a:alpha val="40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207-4055-B589-F405A932D1AA}"/>
              </c:ext>
            </c:extLst>
          </c:dPt>
          <c:xVal>
            <c:numRef>
              <c:f>(Relógio!$E$9,Relógio!$G$9)</c:f>
              <c:numCache>
                <c:formatCode>General</c:formatCode>
                <c:ptCount val="2"/>
                <c:pt idx="0">
                  <c:v>0</c:v>
                </c:pt>
                <c:pt idx="1">
                  <c:v>0.77942286340599476</c:v>
                </c:pt>
              </c:numCache>
            </c:numRef>
          </c:xVal>
          <c:yVal>
            <c:numRef>
              <c:f>(Relógio!$F$9,Relógio!$H$9)</c:f>
              <c:numCache>
                <c:formatCode>General</c:formatCode>
                <c:ptCount val="2"/>
                <c:pt idx="0">
                  <c:v>0</c:v>
                </c:pt>
                <c:pt idx="1">
                  <c:v>0.45000000000000012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3207-4055-B589-F405A932D1AA}"/>
            </c:ext>
          </c:extLst>
        </c:ser>
        <c:ser>
          <c:idx val="3"/>
          <c:order val="3"/>
          <c:tx>
            <c:strRef>
              <c:f>Relógio!$C$12</c:f>
              <c:strCache>
                <c:ptCount val="1"/>
                <c:pt idx="0">
                  <c:v>ângulo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44450">
                <a:solidFill>
                  <a:schemeClr val="tx1"/>
                </a:solidFill>
              </a:ln>
              <a:effectLst/>
            </c:spPr>
          </c:marker>
          <c:xVal>
            <c:numRef>
              <c:f>Relógio!$E$13:$E$24</c:f>
              <c:numCache>
                <c:formatCode>General</c:formatCode>
                <c:ptCount val="12"/>
                <c:pt idx="0">
                  <c:v>0.49999999999999994</c:v>
                </c:pt>
                <c:pt idx="1">
                  <c:v>0.8660254037844386</c:v>
                </c:pt>
                <c:pt idx="2">
                  <c:v>1</c:v>
                </c:pt>
                <c:pt idx="3">
                  <c:v>0.86602540378443871</c:v>
                </c:pt>
                <c:pt idx="4">
                  <c:v>0.49999999999999994</c:v>
                </c:pt>
                <c:pt idx="5">
                  <c:v>1.22514845490862E-16</c:v>
                </c:pt>
                <c:pt idx="6">
                  <c:v>-0.50000000000000011</c:v>
                </c:pt>
                <c:pt idx="7">
                  <c:v>-0.86602540378443837</c:v>
                </c:pt>
                <c:pt idx="8">
                  <c:v>-1</c:v>
                </c:pt>
                <c:pt idx="9">
                  <c:v>-0.8660254037844386</c:v>
                </c:pt>
                <c:pt idx="10">
                  <c:v>-0.50000000000000044</c:v>
                </c:pt>
                <c:pt idx="11">
                  <c:v>-2.45029690981724E-16</c:v>
                </c:pt>
              </c:numCache>
            </c:numRef>
          </c:xVal>
          <c:yVal>
            <c:numRef>
              <c:f>Relógio!$F$13:$F$24</c:f>
              <c:numCache>
                <c:formatCode>General</c:formatCode>
                <c:ptCount val="12"/>
                <c:pt idx="0">
                  <c:v>0.86602540378443871</c:v>
                </c:pt>
                <c:pt idx="1">
                  <c:v>0.50000000000000011</c:v>
                </c:pt>
                <c:pt idx="2">
                  <c:v>6.1257422745431001E-17</c:v>
                </c:pt>
                <c:pt idx="3">
                  <c:v>-0.49999999999999978</c:v>
                </c:pt>
                <c:pt idx="4">
                  <c:v>-0.86602540378443871</c:v>
                </c:pt>
                <c:pt idx="5">
                  <c:v>-1</c:v>
                </c:pt>
                <c:pt idx="6">
                  <c:v>-0.8660254037844386</c:v>
                </c:pt>
                <c:pt idx="7">
                  <c:v>-0.50000000000000044</c:v>
                </c:pt>
                <c:pt idx="8">
                  <c:v>-1.83772268236293E-16</c:v>
                </c:pt>
                <c:pt idx="9">
                  <c:v>0.50000000000000011</c:v>
                </c:pt>
                <c:pt idx="10">
                  <c:v>0.86602540378443837</c:v>
                </c:pt>
                <c:pt idx="11">
                  <c:v>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207-4055-B589-F405A932D1AA}"/>
            </c:ext>
          </c:extLst>
        </c:ser>
        <c:axId val="67312640"/>
        <c:axId val="67339392"/>
      </c:scatterChart>
      <c:valAx>
        <c:axId val="6731264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67339392"/>
        <c:crosses val="autoZero"/>
        <c:crossBetween val="midCat"/>
      </c:valAx>
      <c:valAx>
        <c:axId val="67339392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67312640"/>
        <c:crosses val="autoZero"/>
        <c:crossBetween val="midCat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/>
      </c:spPr>
    </c:plotArea>
    <c:plotVisOnly val="1"/>
    <c:dispBlanksAs val="gap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254756</xdr:colOff>
      <xdr:row>20</xdr:row>
      <xdr:rowOff>157005</xdr:rowOff>
    </xdr:from>
    <xdr:to>
      <xdr:col>20</xdr:col>
      <xdr:colOff>471015</xdr:colOff>
      <xdr:row>39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308556</xdr:colOff>
      <xdr:row>40</xdr:row>
      <xdr:rowOff>26832</xdr:rowOff>
    </xdr:from>
    <xdr:to>
      <xdr:col>20</xdr:col>
      <xdr:colOff>362219</xdr:colOff>
      <xdr:row>56</xdr:row>
      <xdr:rowOff>134155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374292</xdr:colOff>
      <xdr:row>60</xdr:row>
      <xdr:rowOff>65736</xdr:rowOff>
    </xdr:from>
    <xdr:to>
      <xdr:col>20</xdr:col>
      <xdr:colOff>119398</xdr:colOff>
      <xdr:row>74</xdr:row>
      <xdr:rowOff>175742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0.34779</cdr:x>
      <cdr:y>0.04182</cdr:y>
    </cdr:from>
    <cdr:to>
      <cdr:x>0.68715</cdr:x>
      <cdr:y>0.14828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1278767" y="115981"/>
          <a:ext cx="1247775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10</xdr:row>
      <xdr:rowOff>9526</xdr:rowOff>
    </xdr:from>
    <xdr:to>
      <xdr:col>15</xdr:col>
      <xdr:colOff>609600</xdr:colOff>
      <xdr:row>31</xdr:row>
      <xdr:rowOff>153204</xdr:rowOff>
    </xdr:to>
    <xdr:graphicFrame macro="">
      <xdr:nvGraphicFramePr>
        <xdr:cNvPr id="5" name="Gráfico 4">
          <a:extLst>
            <a:ext uri="{FF2B5EF4-FFF2-40B4-BE49-F238E27FC236}">
              <a16:creationId xmlns="" xmlns:a16="http://schemas.microsoft.com/office/drawing/2014/main" id="{355A7F23-4AA9-4B94-B87A-326C2FD63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733423</xdr:colOff>
      <xdr:row>32</xdr:row>
      <xdr:rowOff>161925</xdr:rowOff>
    </xdr:from>
    <xdr:to>
      <xdr:col>10</xdr:col>
      <xdr:colOff>449398</xdr:colOff>
      <xdr:row>38</xdr:row>
      <xdr:rowOff>98925</xdr:rowOff>
    </xdr:to>
    <xdr:sp macro="[0]!IniciarRelogio" textlink="">
      <xdr:nvSpPr>
        <xdr:cNvPr id="6" name="Retângulo 5"/>
        <xdr:cNvSpPr/>
      </xdr:nvSpPr>
      <xdr:spPr>
        <a:xfrm>
          <a:off x="4714873" y="6257925"/>
          <a:ext cx="1440000" cy="1080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pt-BR" sz="1100" b="1" cap="none" spc="0">
              <a:ln/>
              <a:solidFill>
                <a:schemeClr val="tx1"/>
              </a:solidFill>
              <a:effectLst/>
            </a:rPr>
            <a:t>INICIAR</a:t>
          </a:r>
        </a:p>
      </xdr:txBody>
    </xdr:sp>
    <xdr:clientData/>
  </xdr:twoCellAnchor>
  <xdr:twoCellAnchor>
    <xdr:from>
      <xdr:col>12</xdr:col>
      <xdr:colOff>28575</xdr:colOff>
      <xdr:row>32</xdr:row>
      <xdr:rowOff>133350</xdr:rowOff>
    </xdr:from>
    <xdr:to>
      <xdr:col>14</xdr:col>
      <xdr:colOff>249375</xdr:colOff>
      <xdr:row>38</xdr:row>
      <xdr:rowOff>70350</xdr:rowOff>
    </xdr:to>
    <xdr:sp macro="[0]!PararRelogio" textlink="">
      <xdr:nvSpPr>
        <xdr:cNvPr id="7" name="Retângulo 6"/>
        <xdr:cNvSpPr/>
      </xdr:nvSpPr>
      <xdr:spPr>
        <a:xfrm>
          <a:off x="6953250" y="6229350"/>
          <a:ext cx="1440000" cy="1080000"/>
        </a:xfrm>
        <a:prstGeom prst="rect">
          <a:avLst/>
        </a:prstGeom>
        <a:blipFill>
          <a:blip xmlns:r="http://schemas.openxmlformats.org/officeDocument/2006/relationships" r:embed="rId2" cstate="print"/>
          <a:stretch>
            <a:fillRect/>
          </a:stretch>
        </a:blip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pPr algn="ctr"/>
          <a:r>
            <a:rPr lang="pt-BR" sz="1100" b="1" cap="none" spc="0">
              <a:ln/>
              <a:solidFill>
                <a:schemeClr val="tx1"/>
              </a:solidFill>
              <a:effectLst/>
            </a:rPr>
            <a:t>PARAR</a:t>
          </a:r>
        </a:p>
        <a:p>
          <a:pPr algn="ctr"/>
          <a:endParaRPr lang="pt-BR" sz="1100" b="1" cap="none" spc="0">
            <a:ln/>
            <a:solidFill>
              <a:schemeClr val="accent3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O447"/>
  <sheetViews>
    <sheetView topLeftCell="A13" zoomScale="91" zoomScaleNormal="91" workbookViewId="0">
      <selection activeCell="D18" sqref="D18"/>
    </sheetView>
  </sheetViews>
  <sheetFormatPr defaultRowHeight="15"/>
  <cols>
    <col min="3" max="3" width="12.7109375" bestFit="1" customWidth="1"/>
    <col min="6" max="6" width="9.140625" customWidth="1"/>
    <col min="10" max="10" width="2" bestFit="1" customWidth="1"/>
  </cols>
  <sheetData>
    <row r="1" spans="2:15">
      <c r="B1" s="1"/>
      <c r="C1" s="1"/>
      <c r="D1" s="1"/>
      <c r="E1" s="1"/>
      <c r="F1" s="1"/>
    </row>
    <row r="2" spans="2:15">
      <c r="B2" s="1"/>
      <c r="C2" s="1"/>
      <c r="D2" s="1"/>
      <c r="E2" s="1"/>
      <c r="F2" s="1"/>
    </row>
    <row r="3" spans="2:15">
      <c r="B3" s="1"/>
      <c r="C3" s="1"/>
      <c r="D3" s="1"/>
      <c r="E3" s="1"/>
      <c r="F3" s="1"/>
    </row>
    <row r="4" spans="2:15">
      <c r="B4" s="1"/>
      <c r="C4" s="1"/>
      <c r="D4" s="1"/>
      <c r="E4" s="1"/>
      <c r="F4" s="1"/>
    </row>
    <row r="5" spans="2:15">
      <c r="B5" s="1"/>
      <c r="C5" s="1"/>
      <c r="D5" s="1"/>
      <c r="E5" s="1"/>
      <c r="F5" s="1"/>
    </row>
    <row r="6" spans="2:15">
      <c r="B6" s="1"/>
      <c r="C6" s="1"/>
      <c r="D6" s="1"/>
      <c r="E6" s="1"/>
      <c r="F6" s="1"/>
    </row>
    <row r="7" spans="2:15">
      <c r="B7" s="1"/>
      <c r="C7" s="1"/>
      <c r="D7" s="1"/>
      <c r="E7" s="1"/>
      <c r="F7" s="1"/>
    </row>
    <row r="8" spans="2:15">
      <c r="B8" s="1"/>
      <c r="C8" s="1"/>
      <c r="D8" s="1"/>
      <c r="E8" s="1"/>
      <c r="F8" s="1"/>
    </row>
    <row r="9" spans="2:15">
      <c r="B9" s="1"/>
      <c r="C9" s="1"/>
      <c r="D9" s="1"/>
      <c r="E9" s="1"/>
      <c r="F9" s="1"/>
    </row>
    <row r="10" spans="2:15" ht="15.7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5.7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15.7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5" ht="16.5" thickBot="1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5.75">
      <c r="B14" s="2"/>
      <c r="C14" s="3" t="s">
        <v>0</v>
      </c>
      <c r="D14" s="4" t="s">
        <v>5</v>
      </c>
      <c r="E14" s="5" t="s">
        <v>6</v>
      </c>
      <c r="F14" s="2"/>
      <c r="G14" s="3" t="s">
        <v>1</v>
      </c>
      <c r="H14" s="4"/>
      <c r="I14" s="4"/>
      <c r="J14" s="4"/>
      <c r="K14" s="4"/>
      <c r="L14" s="5"/>
      <c r="M14" s="2"/>
      <c r="N14" s="2"/>
      <c r="O14" s="2"/>
    </row>
    <row r="15" spans="2:15" ht="19.5">
      <c r="B15" s="2"/>
      <c r="C15" s="6" t="s">
        <v>10</v>
      </c>
      <c r="D15" s="7">
        <v>0</v>
      </c>
      <c r="E15" s="8" t="s">
        <v>2</v>
      </c>
      <c r="F15" s="2"/>
      <c r="G15" s="6" t="s">
        <v>7</v>
      </c>
      <c r="H15" s="7">
        <v>60</v>
      </c>
      <c r="I15" s="7" t="s">
        <v>8</v>
      </c>
      <c r="J15" s="9" t="s">
        <v>9</v>
      </c>
      <c r="K15" s="7">
        <f>H15/3.6</f>
        <v>16.666666666666668</v>
      </c>
      <c r="L15" s="8" t="s">
        <v>2</v>
      </c>
      <c r="M15" s="2"/>
      <c r="N15" s="2"/>
      <c r="O15" s="2"/>
    </row>
    <row r="16" spans="2:15" ht="19.5">
      <c r="B16" s="2"/>
      <c r="C16" s="6" t="s">
        <v>11</v>
      </c>
      <c r="D16" s="7">
        <v>0</v>
      </c>
      <c r="E16" s="8" t="s">
        <v>3</v>
      </c>
      <c r="F16" s="2"/>
      <c r="G16" s="6" t="s">
        <v>11</v>
      </c>
      <c r="H16" s="7">
        <v>0</v>
      </c>
      <c r="I16" s="7" t="s">
        <v>3</v>
      </c>
      <c r="J16" s="7"/>
      <c r="K16" s="7"/>
      <c r="L16" s="8"/>
      <c r="M16" s="2"/>
      <c r="N16" s="2"/>
      <c r="O16" s="2"/>
    </row>
    <row r="17" spans="1:15" ht="18.75">
      <c r="B17" s="2"/>
      <c r="C17" s="6" t="s">
        <v>4</v>
      </c>
      <c r="D17" s="7">
        <v>2</v>
      </c>
      <c r="E17" s="8" t="s">
        <v>12</v>
      </c>
      <c r="F17" s="2"/>
      <c r="G17" s="6"/>
      <c r="H17" s="7"/>
      <c r="I17" s="7"/>
      <c r="J17" s="7"/>
      <c r="K17" s="7"/>
      <c r="L17" s="8"/>
      <c r="M17" s="2"/>
      <c r="N17" s="2"/>
      <c r="O17" s="2"/>
    </row>
    <row r="18" spans="1:15" ht="16.5" thickBot="1">
      <c r="B18" s="2"/>
      <c r="C18" s="10"/>
      <c r="D18" s="11"/>
      <c r="E18" s="12"/>
      <c r="F18" s="2"/>
      <c r="G18" s="10"/>
      <c r="H18" s="11"/>
      <c r="I18" s="11"/>
      <c r="J18" s="11"/>
      <c r="K18" s="11"/>
      <c r="L18" s="12"/>
      <c r="M18" s="2"/>
      <c r="N18" s="2"/>
      <c r="O18" s="2"/>
    </row>
    <row r="19" spans="1:15" ht="15.7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5.75">
      <c r="A20" t="s">
        <v>15</v>
      </c>
      <c r="B20" s="2">
        <v>0.1</v>
      </c>
      <c r="C20" s="2" t="s">
        <v>21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8">
      <c r="A21" t="s">
        <v>13</v>
      </c>
      <c r="C21" t="s">
        <v>14</v>
      </c>
      <c r="D21" t="s">
        <v>17</v>
      </c>
      <c r="E21" t="s">
        <v>16</v>
      </c>
      <c r="G21" t="s">
        <v>18</v>
      </c>
      <c r="H21" t="s">
        <v>20</v>
      </c>
      <c r="I21" t="s">
        <v>19</v>
      </c>
    </row>
    <row r="22" spans="1:15">
      <c r="A22">
        <v>0</v>
      </c>
      <c r="C22">
        <f>$D$15+$D$16*B116+($D$17*B116^2)/2</f>
        <v>0</v>
      </c>
      <c r="G22">
        <f>$H$16+$K$15*B116</f>
        <v>0</v>
      </c>
    </row>
    <row r="23" spans="1:15">
      <c r="A23">
        <f>B116+$B$20</f>
        <v>0.1</v>
      </c>
      <c r="C23">
        <f t="shared" ref="C23:C86" si="0">$D$15+$D$16*A23+($D$17*A23^2)/2</f>
        <v>1.0000000000000002E-2</v>
      </c>
      <c r="D23">
        <f>(C23-C22)/(A23-B116)</f>
        <v>0.10000000000000002</v>
      </c>
      <c r="G23">
        <f t="shared" ref="G23:G86" si="1">$H$16+$K$15*A23</f>
        <v>1.666666666666667</v>
      </c>
      <c r="H23">
        <f>(G23-G22)/(A23-B116)</f>
        <v>16.666666666666668</v>
      </c>
    </row>
    <row r="24" spans="1:15">
      <c r="A24">
        <f t="shared" ref="A24:A87" si="2">A23+$B$20</f>
        <v>0.2</v>
      </c>
      <c r="C24">
        <f t="shared" si="0"/>
        <v>4.0000000000000008E-2</v>
      </c>
      <c r="D24">
        <f t="shared" ref="D24:D87" si="3">(C24-C23)/(A24-A23)</f>
        <v>0.30000000000000004</v>
      </c>
      <c r="E24">
        <f>(D24-D23)/(A24-A23)</f>
        <v>2</v>
      </c>
      <c r="G24">
        <f t="shared" si="1"/>
        <v>3.3333333333333339</v>
      </c>
      <c r="H24">
        <f t="shared" ref="H24:H87" si="4">(G24-G23)/(A24-A23)</f>
        <v>16.666666666666668</v>
      </c>
      <c r="I24">
        <f>(H24-H23)/(A24-A23)</f>
        <v>0</v>
      </c>
    </row>
    <row r="25" spans="1:15">
      <c r="A25">
        <f t="shared" si="2"/>
        <v>0.30000000000000004</v>
      </c>
      <c r="C25">
        <f t="shared" si="0"/>
        <v>9.0000000000000024E-2</v>
      </c>
      <c r="D25">
        <f t="shared" si="3"/>
        <v>0.5</v>
      </c>
      <c r="E25">
        <f t="shared" ref="E25:E88" si="5">(D25-D24)/(A25-A24)</f>
        <v>1.9999999999999989</v>
      </c>
      <c r="G25">
        <f t="shared" si="1"/>
        <v>5.0000000000000009</v>
      </c>
      <c r="H25">
        <f t="shared" si="4"/>
        <v>16.666666666666664</v>
      </c>
      <c r="I25">
        <f>(H25-H24)/(A25-A24)</f>
        <v>-3.5527136788004997E-14</v>
      </c>
    </row>
    <row r="26" spans="1:15">
      <c r="A26">
        <f t="shared" si="2"/>
        <v>0.4</v>
      </c>
      <c r="C26">
        <f t="shared" si="0"/>
        <v>0.16000000000000003</v>
      </c>
      <c r="D26">
        <f t="shared" si="3"/>
        <v>0.70000000000000018</v>
      </c>
      <c r="E26">
        <f t="shared" si="5"/>
        <v>2.0000000000000022</v>
      </c>
      <c r="G26">
        <f t="shared" si="1"/>
        <v>6.6666666666666679</v>
      </c>
      <c r="H26">
        <f t="shared" si="4"/>
        <v>16.666666666666675</v>
      </c>
      <c r="I26">
        <f>(H26-H25)/(A26-A25)</f>
        <v>1.0658141036401505E-13</v>
      </c>
    </row>
    <row r="27" spans="1:15">
      <c r="A27">
        <f t="shared" si="2"/>
        <v>0.5</v>
      </c>
      <c r="C27">
        <f t="shared" si="0"/>
        <v>0.25</v>
      </c>
      <c r="D27">
        <f t="shared" si="3"/>
        <v>0.89999999999999991</v>
      </c>
      <c r="E27">
        <f t="shared" si="5"/>
        <v>1.9999999999999978</v>
      </c>
      <c r="G27">
        <f t="shared" si="1"/>
        <v>8.3333333333333339</v>
      </c>
      <c r="H27">
        <f t="shared" si="4"/>
        <v>16.666666666666664</v>
      </c>
      <c r="I27">
        <f t="shared" ref="I27:I90" si="6">(H27-H26)/(A27-A26)</f>
        <v>-1.0658141036401505E-13</v>
      </c>
    </row>
    <row r="28" spans="1:15">
      <c r="A28">
        <f t="shared" si="2"/>
        <v>0.6</v>
      </c>
      <c r="C28">
        <f t="shared" si="0"/>
        <v>0.36</v>
      </c>
      <c r="D28">
        <f t="shared" si="3"/>
        <v>1.1000000000000001</v>
      </c>
      <c r="E28">
        <f t="shared" si="5"/>
        <v>2.0000000000000022</v>
      </c>
      <c r="G28">
        <f t="shared" si="1"/>
        <v>10</v>
      </c>
      <c r="H28">
        <f t="shared" si="4"/>
        <v>16.666666666666664</v>
      </c>
      <c r="I28">
        <f t="shared" si="6"/>
        <v>0</v>
      </c>
    </row>
    <row r="29" spans="1:15">
      <c r="A29">
        <f t="shared" si="2"/>
        <v>0.7</v>
      </c>
      <c r="C29">
        <f t="shared" si="0"/>
        <v>0.48999999999999994</v>
      </c>
      <c r="D29">
        <f t="shared" si="3"/>
        <v>1.2999999999999998</v>
      </c>
      <c r="E29">
        <f t="shared" si="5"/>
        <v>1.9999999999999978</v>
      </c>
      <c r="G29">
        <f t="shared" si="1"/>
        <v>11.666666666666666</v>
      </c>
      <c r="H29">
        <f t="shared" si="4"/>
        <v>16.666666666666664</v>
      </c>
      <c r="I29">
        <f t="shared" si="6"/>
        <v>0</v>
      </c>
    </row>
    <row r="30" spans="1:15">
      <c r="A30">
        <f t="shared" si="2"/>
        <v>0.79999999999999993</v>
      </c>
      <c r="C30">
        <f t="shared" si="0"/>
        <v>0.6399999999999999</v>
      </c>
      <c r="D30">
        <f t="shared" si="3"/>
        <v>1.5</v>
      </c>
      <c r="E30">
        <f t="shared" si="5"/>
        <v>2.0000000000000022</v>
      </c>
      <c r="G30">
        <f t="shared" si="1"/>
        <v>13.333333333333334</v>
      </c>
      <c r="H30">
        <f t="shared" si="4"/>
        <v>16.666666666666682</v>
      </c>
      <c r="I30">
        <f t="shared" si="6"/>
        <v>1.776356839400251E-13</v>
      </c>
    </row>
    <row r="31" spans="1:15">
      <c r="A31">
        <f t="shared" si="2"/>
        <v>0.89999999999999991</v>
      </c>
      <c r="C31">
        <f t="shared" si="0"/>
        <v>0.80999999999999983</v>
      </c>
      <c r="D31">
        <f t="shared" si="3"/>
        <v>1.6999999999999997</v>
      </c>
      <c r="E31">
        <f t="shared" si="5"/>
        <v>1.9999999999999978</v>
      </c>
      <c r="G31">
        <f t="shared" si="1"/>
        <v>15</v>
      </c>
      <c r="H31">
        <f t="shared" si="4"/>
        <v>16.666666666666664</v>
      </c>
      <c r="I31">
        <f t="shared" si="6"/>
        <v>-1.776356839400251E-13</v>
      </c>
    </row>
    <row r="32" spans="1:15">
      <c r="A32">
        <f t="shared" si="2"/>
        <v>0.99999999999999989</v>
      </c>
      <c r="C32">
        <f t="shared" si="0"/>
        <v>0.99999999999999978</v>
      </c>
      <c r="D32">
        <f t="shared" si="3"/>
        <v>1.9</v>
      </c>
      <c r="E32">
        <f t="shared" si="5"/>
        <v>2.0000000000000022</v>
      </c>
      <c r="G32">
        <f t="shared" si="1"/>
        <v>16.666666666666664</v>
      </c>
      <c r="H32">
        <f t="shared" si="4"/>
        <v>16.666666666666647</v>
      </c>
      <c r="I32">
        <f t="shared" si="6"/>
        <v>-1.776356839400251E-13</v>
      </c>
    </row>
    <row r="33" spans="1:9">
      <c r="A33">
        <f t="shared" si="2"/>
        <v>1.0999999999999999</v>
      </c>
      <c r="C33">
        <f t="shared" si="0"/>
        <v>1.2099999999999997</v>
      </c>
      <c r="D33">
        <f t="shared" si="3"/>
        <v>2.1</v>
      </c>
      <c r="E33">
        <f t="shared" si="5"/>
        <v>2.0000000000000022</v>
      </c>
      <c r="G33">
        <f t="shared" si="1"/>
        <v>18.333333333333332</v>
      </c>
      <c r="H33">
        <f t="shared" si="4"/>
        <v>16.666666666666682</v>
      </c>
      <c r="I33">
        <f t="shared" si="6"/>
        <v>3.5527136788005019E-13</v>
      </c>
    </row>
    <row r="34" spans="1:9">
      <c r="A34">
        <f t="shared" si="2"/>
        <v>1.2</v>
      </c>
      <c r="C34">
        <f t="shared" si="0"/>
        <v>1.44</v>
      </c>
      <c r="D34">
        <f t="shared" si="3"/>
        <v>2.2999999999999998</v>
      </c>
      <c r="E34">
        <f t="shared" si="5"/>
        <v>1.9999999999999956</v>
      </c>
      <c r="G34">
        <f t="shared" si="1"/>
        <v>20</v>
      </c>
      <c r="H34">
        <f t="shared" si="4"/>
        <v>16.666666666666664</v>
      </c>
      <c r="I34">
        <f t="shared" si="6"/>
        <v>-1.776356839400249E-13</v>
      </c>
    </row>
    <row r="35" spans="1:9">
      <c r="A35">
        <f t="shared" si="2"/>
        <v>1.3</v>
      </c>
      <c r="C35">
        <f t="shared" si="0"/>
        <v>1.6900000000000002</v>
      </c>
      <c r="D35">
        <f t="shared" si="3"/>
        <v>2.5</v>
      </c>
      <c r="E35">
        <f t="shared" si="5"/>
        <v>2</v>
      </c>
      <c r="G35">
        <f t="shared" si="1"/>
        <v>21.666666666666668</v>
      </c>
      <c r="H35">
        <f t="shared" si="4"/>
        <v>16.666666666666664</v>
      </c>
      <c r="I35">
        <f t="shared" si="6"/>
        <v>0</v>
      </c>
    </row>
    <row r="36" spans="1:9">
      <c r="A36">
        <f t="shared" si="2"/>
        <v>1.4000000000000001</v>
      </c>
      <c r="C36">
        <f t="shared" si="0"/>
        <v>1.9600000000000004</v>
      </c>
      <c r="D36">
        <f t="shared" si="3"/>
        <v>2.7</v>
      </c>
      <c r="E36">
        <f t="shared" si="5"/>
        <v>2</v>
      </c>
      <c r="G36">
        <f t="shared" si="1"/>
        <v>23.333333333333336</v>
      </c>
      <c r="H36">
        <f t="shared" si="4"/>
        <v>16.666666666666664</v>
      </c>
      <c r="I36">
        <f t="shared" si="6"/>
        <v>0</v>
      </c>
    </row>
    <row r="37" spans="1:9">
      <c r="A37">
        <f t="shared" si="2"/>
        <v>1.5000000000000002</v>
      </c>
      <c r="C37">
        <f t="shared" si="0"/>
        <v>2.2500000000000009</v>
      </c>
      <c r="D37">
        <f t="shared" si="3"/>
        <v>2.9000000000000021</v>
      </c>
      <c r="E37">
        <f t="shared" si="5"/>
        <v>2.0000000000000178</v>
      </c>
      <c r="G37">
        <f t="shared" si="1"/>
        <v>25.000000000000007</v>
      </c>
      <c r="H37">
        <f t="shared" si="4"/>
        <v>16.6666666666667</v>
      </c>
      <c r="I37">
        <f t="shared" si="6"/>
        <v>3.5527136788004979E-13</v>
      </c>
    </row>
    <row r="38" spans="1:9">
      <c r="A38">
        <f t="shared" si="2"/>
        <v>1.6000000000000003</v>
      </c>
      <c r="C38">
        <f t="shared" si="0"/>
        <v>2.5600000000000009</v>
      </c>
      <c r="D38">
        <f t="shared" si="3"/>
        <v>3.0999999999999979</v>
      </c>
      <c r="E38">
        <f t="shared" si="5"/>
        <v>1.9999999999999556</v>
      </c>
      <c r="G38">
        <f t="shared" si="1"/>
        <v>26.666666666666675</v>
      </c>
      <c r="H38">
        <f t="shared" si="4"/>
        <v>16.666666666666664</v>
      </c>
      <c r="I38">
        <f t="shared" si="6"/>
        <v>-3.5527136788004979E-13</v>
      </c>
    </row>
    <row r="39" spans="1:9">
      <c r="A39">
        <f t="shared" si="2"/>
        <v>1.7000000000000004</v>
      </c>
      <c r="C39">
        <f t="shared" si="0"/>
        <v>2.8900000000000015</v>
      </c>
      <c r="D39">
        <f t="shared" si="3"/>
        <v>3.300000000000002</v>
      </c>
      <c r="E39">
        <f t="shared" si="5"/>
        <v>2.00000000000004</v>
      </c>
      <c r="G39">
        <f t="shared" si="1"/>
        <v>28.333333333333343</v>
      </c>
      <c r="H39">
        <f t="shared" si="4"/>
        <v>16.666666666666664</v>
      </c>
      <c r="I39">
        <f t="shared" si="6"/>
        <v>0</v>
      </c>
    </row>
    <row r="40" spans="1:9">
      <c r="A40">
        <f t="shared" si="2"/>
        <v>1.8000000000000005</v>
      </c>
      <c r="C40">
        <f t="shared" si="0"/>
        <v>3.2400000000000015</v>
      </c>
      <c r="D40">
        <f t="shared" si="3"/>
        <v>3.4999999999999978</v>
      </c>
      <c r="E40">
        <f t="shared" si="5"/>
        <v>1.9999999999999556</v>
      </c>
      <c r="G40">
        <f t="shared" si="1"/>
        <v>30.000000000000011</v>
      </c>
      <c r="H40">
        <f t="shared" si="4"/>
        <v>16.666666666666664</v>
      </c>
      <c r="I40">
        <f t="shared" si="6"/>
        <v>0</v>
      </c>
    </row>
    <row r="41" spans="1:9">
      <c r="A41">
        <f t="shared" si="2"/>
        <v>1.9000000000000006</v>
      </c>
      <c r="C41">
        <f t="shared" si="0"/>
        <v>3.6100000000000021</v>
      </c>
      <c r="D41">
        <f t="shared" si="3"/>
        <v>3.7000000000000024</v>
      </c>
      <c r="E41">
        <f t="shared" si="5"/>
        <v>2.0000000000000444</v>
      </c>
      <c r="G41">
        <f t="shared" si="1"/>
        <v>31.666666666666679</v>
      </c>
      <c r="H41">
        <f t="shared" si="4"/>
        <v>16.666666666666664</v>
      </c>
      <c r="I41">
        <f t="shared" si="6"/>
        <v>0</v>
      </c>
    </row>
    <row r="42" spans="1:9">
      <c r="A42">
        <f t="shared" si="2"/>
        <v>2.0000000000000004</v>
      </c>
      <c r="C42">
        <f t="shared" si="0"/>
        <v>4.0000000000000018</v>
      </c>
      <c r="D42">
        <f t="shared" si="3"/>
        <v>3.9000000000000021</v>
      </c>
      <c r="E42">
        <f t="shared" si="5"/>
        <v>2</v>
      </c>
      <c r="G42">
        <f t="shared" si="1"/>
        <v>33.333333333333343</v>
      </c>
      <c r="H42">
        <f t="shared" si="4"/>
        <v>16.666666666666664</v>
      </c>
      <c r="I42">
        <f t="shared" si="6"/>
        <v>0</v>
      </c>
    </row>
    <row r="43" spans="1:9">
      <c r="A43">
        <f t="shared" si="2"/>
        <v>2.1000000000000005</v>
      </c>
      <c r="C43">
        <f t="shared" si="0"/>
        <v>4.4100000000000019</v>
      </c>
      <c r="D43">
        <f t="shared" si="3"/>
        <v>4.0999999999999979</v>
      </c>
      <c r="E43">
        <f t="shared" si="5"/>
        <v>1.9999999999999556</v>
      </c>
      <c r="G43">
        <f t="shared" si="1"/>
        <v>35.000000000000014</v>
      </c>
      <c r="H43">
        <f t="shared" si="4"/>
        <v>16.6666666666667</v>
      </c>
      <c r="I43">
        <f t="shared" si="6"/>
        <v>3.5527136788004979E-13</v>
      </c>
    </row>
    <row r="44" spans="1:9">
      <c r="A44">
        <f t="shared" si="2"/>
        <v>2.2000000000000006</v>
      </c>
      <c r="C44">
        <f t="shared" si="0"/>
        <v>4.8400000000000025</v>
      </c>
      <c r="D44">
        <f t="shared" si="3"/>
        <v>4.3000000000000025</v>
      </c>
      <c r="E44">
        <f t="shared" si="5"/>
        <v>2.0000000000000444</v>
      </c>
      <c r="G44">
        <f t="shared" si="1"/>
        <v>36.666666666666679</v>
      </c>
      <c r="H44">
        <f t="shared" si="4"/>
        <v>16.666666666666629</v>
      </c>
      <c r="I44">
        <f t="shared" si="6"/>
        <v>-7.1054273576009958E-13</v>
      </c>
    </row>
    <row r="45" spans="1:9">
      <c r="A45">
        <f t="shared" si="2"/>
        <v>2.3000000000000007</v>
      </c>
      <c r="C45">
        <f t="shared" si="0"/>
        <v>5.2900000000000036</v>
      </c>
      <c r="D45">
        <f t="shared" si="3"/>
        <v>4.5000000000000071</v>
      </c>
      <c r="E45">
        <f t="shared" si="5"/>
        <v>2.0000000000000444</v>
      </c>
      <c r="G45">
        <f t="shared" si="1"/>
        <v>38.33333333333335</v>
      </c>
      <c r="H45">
        <f t="shared" si="4"/>
        <v>16.6666666666667</v>
      </c>
      <c r="I45">
        <f t="shared" si="6"/>
        <v>7.1054273576009958E-13</v>
      </c>
    </row>
    <row r="46" spans="1:9">
      <c r="A46">
        <f t="shared" si="2"/>
        <v>2.4000000000000008</v>
      </c>
      <c r="C46">
        <f t="shared" si="0"/>
        <v>5.7600000000000042</v>
      </c>
      <c r="D46">
        <f t="shared" si="3"/>
        <v>4.700000000000002</v>
      </c>
      <c r="E46">
        <f t="shared" si="5"/>
        <v>1.9999999999999467</v>
      </c>
      <c r="G46">
        <f t="shared" si="1"/>
        <v>40.000000000000014</v>
      </c>
      <c r="H46">
        <f t="shared" si="4"/>
        <v>16.666666666666629</v>
      </c>
      <c r="I46">
        <f t="shared" si="6"/>
        <v>-7.1054273576009958E-13</v>
      </c>
    </row>
    <row r="47" spans="1:9">
      <c r="A47">
        <f t="shared" si="2"/>
        <v>2.5000000000000009</v>
      </c>
      <c r="C47">
        <f t="shared" si="0"/>
        <v>6.2500000000000044</v>
      </c>
      <c r="D47">
        <f t="shared" si="3"/>
        <v>4.8999999999999977</v>
      </c>
      <c r="E47">
        <f t="shared" si="5"/>
        <v>1.9999999999999556</v>
      </c>
      <c r="G47">
        <f t="shared" si="1"/>
        <v>41.666666666666686</v>
      </c>
      <c r="H47">
        <f t="shared" si="4"/>
        <v>16.6666666666667</v>
      </c>
      <c r="I47">
        <f t="shared" si="6"/>
        <v>7.1054273576009958E-13</v>
      </c>
    </row>
    <row r="48" spans="1:9">
      <c r="A48">
        <f t="shared" si="2"/>
        <v>2.600000000000001</v>
      </c>
      <c r="C48">
        <f t="shared" si="0"/>
        <v>6.7600000000000051</v>
      </c>
      <c r="D48">
        <f t="shared" si="3"/>
        <v>5.1000000000000023</v>
      </c>
      <c r="E48">
        <f t="shared" si="5"/>
        <v>2.0000000000000444</v>
      </c>
      <c r="G48">
        <f t="shared" si="1"/>
        <v>43.33333333333335</v>
      </c>
      <c r="H48">
        <f t="shared" si="4"/>
        <v>16.666666666666629</v>
      </c>
      <c r="I48">
        <f t="shared" si="6"/>
        <v>-7.1054273576009958E-13</v>
      </c>
    </row>
    <row r="49" spans="1:9">
      <c r="A49">
        <f t="shared" si="2"/>
        <v>2.7000000000000011</v>
      </c>
      <c r="C49">
        <f t="shared" si="0"/>
        <v>7.2900000000000054</v>
      </c>
      <c r="D49">
        <f t="shared" si="3"/>
        <v>5.299999999999998</v>
      </c>
      <c r="E49">
        <f t="shared" si="5"/>
        <v>1.9999999999999556</v>
      </c>
      <c r="G49">
        <f t="shared" si="1"/>
        <v>45.000000000000021</v>
      </c>
      <c r="H49">
        <f t="shared" si="4"/>
        <v>16.6666666666667</v>
      </c>
      <c r="I49">
        <f t="shared" si="6"/>
        <v>7.1054273576009958E-13</v>
      </c>
    </row>
    <row r="50" spans="1:9">
      <c r="A50">
        <f t="shared" si="2"/>
        <v>2.8000000000000012</v>
      </c>
      <c r="C50">
        <f t="shared" si="0"/>
        <v>7.8400000000000061</v>
      </c>
      <c r="D50">
        <f t="shared" si="3"/>
        <v>5.5000000000000018</v>
      </c>
      <c r="E50">
        <f t="shared" si="5"/>
        <v>2.0000000000000355</v>
      </c>
      <c r="G50">
        <f t="shared" si="1"/>
        <v>46.666666666666693</v>
      </c>
      <c r="H50">
        <f t="shared" si="4"/>
        <v>16.6666666666667</v>
      </c>
      <c r="I50">
        <f t="shared" si="6"/>
        <v>0</v>
      </c>
    </row>
    <row r="51" spans="1:9">
      <c r="A51">
        <f t="shared" si="2"/>
        <v>2.9000000000000012</v>
      </c>
      <c r="C51">
        <f t="shared" si="0"/>
        <v>8.4100000000000072</v>
      </c>
      <c r="D51">
        <f t="shared" si="3"/>
        <v>5.7000000000000064</v>
      </c>
      <c r="E51">
        <f t="shared" si="5"/>
        <v>2.0000000000000444</v>
      </c>
      <c r="G51">
        <f t="shared" si="1"/>
        <v>48.333333333333357</v>
      </c>
      <c r="H51">
        <f t="shared" si="4"/>
        <v>16.666666666666629</v>
      </c>
      <c r="I51">
        <f t="shared" si="6"/>
        <v>-7.1054273576009958E-13</v>
      </c>
    </row>
    <row r="52" spans="1:9">
      <c r="A52">
        <f t="shared" si="2"/>
        <v>3.0000000000000013</v>
      </c>
      <c r="C52">
        <f t="shared" si="0"/>
        <v>9.0000000000000071</v>
      </c>
      <c r="D52">
        <f t="shared" si="3"/>
        <v>5.8999999999999932</v>
      </c>
      <c r="E52">
        <f t="shared" si="5"/>
        <v>1.9999999999998668</v>
      </c>
      <c r="G52">
        <f t="shared" si="1"/>
        <v>50.000000000000028</v>
      </c>
      <c r="H52">
        <f t="shared" si="4"/>
        <v>16.6666666666667</v>
      </c>
      <c r="I52">
        <f t="shared" si="6"/>
        <v>7.1054273576009958E-13</v>
      </c>
    </row>
    <row r="53" spans="1:9">
      <c r="A53">
        <f t="shared" si="2"/>
        <v>3.1000000000000014</v>
      </c>
      <c r="C53">
        <f t="shared" si="0"/>
        <v>9.6100000000000083</v>
      </c>
      <c r="D53">
        <f t="shared" si="3"/>
        <v>6.1000000000000068</v>
      </c>
      <c r="E53">
        <f t="shared" si="5"/>
        <v>2.0000000000001332</v>
      </c>
      <c r="G53">
        <f t="shared" si="1"/>
        <v>51.666666666666693</v>
      </c>
      <c r="H53">
        <f t="shared" si="4"/>
        <v>16.666666666666629</v>
      </c>
      <c r="I53">
        <f t="shared" si="6"/>
        <v>-7.1054273576009958E-13</v>
      </c>
    </row>
    <row r="54" spans="1:9">
      <c r="A54">
        <f t="shared" si="2"/>
        <v>3.2000000000000015</v>
      </c>
      <c r="C54">
        <f t="shared" si="0"/>
        <v>10.240000000000009</v>
      </c>
      <c r="D54">
        <f t="shared" si="3"/>
        <v>6.3000000000000025</v>
      </c>
      <c r="E54">
        <f t="shared" si="5"/>
        <v>1.9999999999999556</v>
      </c>
      <c r="G54">
        <f t="shared" si="1"/>
        <v>53.333333333333364</v>
      </c>
      <c r="H54">
        <f t="shared" si="4"/>
        <v>16.6666666666667</v>
      </c>
      <c r="I54">
        <f t="shared" si="6"/>
        <v>7.1054273576009958E-13</v>
      </c>
    </row>
    <row r="55" spans="1:9">
      <c r="A55">
        <f t="shared" si="2"/>
        <v>3.3000000000000016</v>
      </c>
      <c r="C55">
        <f t="shared" si="0"/>
        <v>10.890000000000011</v>
      </c>
      <c r="D55">
        <f t="shared" si="3"/>
        <v>6.500000000000016</v>
      </c>
      <c r="E55">
        <f t="shared" si="5"/>
        <v>2.0000000000001332</v>
      </c>
      <c r="G55">
        <f t="shared" si="1"/>
        <v>55.000000000000028</v>
      </c>
      <c r="H55">
        <f t="shared" si="4"/>
        <v>16.666666666666629</v>
      </c>
      <c r="I55">
        <f t="shared" si="6"/>
        <v>-7.1054273576009958E-13</v>
      </c>
    </row>
    <row r="56" spans="1:9">
      <c r="A56">
        <f t="shared" si="2"/>
        <v>3.4000000000000017</v>
      </c>
      <c r="C56">
        <f t="shared" si="0"/>
        <v>11.560000000000011</v>
      </c>
      <c r="D56">
        <f t="shared" si="3"/>
        <v>6.6999999999999931</v>
      </c>
      <c r="E56">
        <f t="shared" si="5"/>
        <v>1.9999999999997691</v>
      </c>
      <c r="G56">
        <f t="shared" si="1"/>
        <v>56.6666666666667</v>
      </c>
      <c r="H56">
        <f t="shared" si="4"/>
        <v>16.6666666666667</v>
      </c>
      <c r="I56">
        <f t="shared" si="6"/>
        <v>7.1054273576009958E-13</v>
      </c>
    </row>
    <row r="57" spans="1:9">
      <c r="A57">
        <f t="shared" si="2"/>
        <v>3.5000000000000018</v>
      </c>
      <c r="C57">
        <f t="shared" si="0"/>
        <v>12.250000000000012</v>
      </c>
      <c r="D57">
        <f t="shared" si="3"/>
        <v>6.9000000000000066</v>
      </c>
      <c r="E57">
        <f t="shared" si="5"/>
        <v>2.0000000000001332</v>
      </c>
      <c r="G57">
        <f t="shared" si="1"/>
        <v>58.333333333333364</v>
      </c>
      <c r="H57">
        <f t="shared" si="4"/>
        <v>16.666666666666629</v>
      </c>
      <c r="I57">
        <f t="shared" si="6"/>
        <v>-7.1054273576009958E-13</v>
      </c>
    </row>
    <row r="58" spans="1:9">
      <c r="A58">
        <f t="shared" si="2"/>
        <v>3.6000000000000019</v>
      </c>
      <c r="C58">
        <f t="shared" si="0"/>
        <v>12.960000000000013</v>
      </c>
      <c r="D58">
        <f t="shared" si="3"/>
        <v>7.1000000000000023</v>
      </c>
      <c r="E58">
        <f t="shared" si="5"/>
        <v>1.9999999999999556</v>
      </c>
      <c r="G58">
        <f t="shared" si="1"/>
        <v>60.000000000000036</v>
      </c>
      <c r="H58">
        <f t="shared" si="4"/>
        <v>16.6666666666667</v>
      </c>
      <c r="I58">
        <f t="shared" si="6"/>
        <v>7.1054273576009958E-13</v>
      </c>
    </row>
    <row r="59" spans="1:9">
      <c r="A59">
        <f t="shared" si="2"/>
        <v>3.700000000000002</v>
      </c>
      <c r="C59">
        <f t="shared" si="0"/>
        <v>13.690000000000014</v>
      </c>
      <c r="D59">
        <f t="shared" si="3"/>
        <v>7.299999999999998</v>
      </c>
      <c r="E59">
        <f t="shared" si="5"/>
        <v>1.9999999999999556</v>
      </c>
      <c r="G59">
        <f t="shared" si="1"/>
        <v>61.666666666666707</v>
      </c>
      <c r="H59">
        <f t="shared" si="4"/>
        <v>16.6666666666667</v>
      </c>
      <c r="I59">
        <f t="shared" si="6"/>
        <v>0</v>
      </c>
    </row>
    <row r="60" spans="1:9">
      <c r="A60">
        <f t="shared" si="2"/>
        <v>3.800000000000002</v>
      </c>
      <c r="C60">
        <f t="shared" si="0"/>
        <v>14.440000000000015</v>
      </c>
      <c r="D60">
        <f t="shared" si="3"/>
        <v>7.5000000000000107</v>
      </c>
      <c r="E60">
        <f t="shared" si="5"/>
        <v>2.0000000000001243</v>
      </c>
      <c r="G60">
        <f t="shared" si="1"/>
        <v>63.333333333333371</v>
      </c>
      <c r="H60">
        <f t="shared" si="4"/>
        <v>16.666666666666629</v>
      </c>
      <c r="I60">
        <f t="shared" si="6"/>
        <v>-7.1054273576009958E-13</v>
      </c>
    </row>
    <row r="61" spans="1:9">
      <c r="A61">
        <f t="shared" si="2"/>
        <v>3.9000000000000021</v>
      </c>
      <c r="C61">
        <f t="shared" si="0"/>
        <v>15.210000000000017</v>
      </c>
      <c r="D61">
        <f t="shared" si="3"/>
        <v>7.7000000000000064</v>
      </c>
      <c r="E61">
        <f t="shared" si="5"/>
        <v>1.9999999999999556</v>
      </c>
      <c r="G61">
        <f t="shared" si="1"/>
        <v>65.000000000000043</v>
      </c>
      <c r="H61">
        <f t="shared" si="4"/>
        <v>16.6666666666667</v>
      </c>
      <c r="I61">
        <f t="shared" si="6"/>
        <v>7.1054273576009958E-13</v>
      </c>
    </row>
    <row r="62" spans="1:9">
      <c r="A62">
        <f t="shared" si="2"/>
        <v>4.0000000000000018</v>
      </c>
      <c r="C62">
        <f t="shared" si="0"/>
        <v>16.000000000000014</v>
      </c>
      <c r="D62">
        <f t="shared" si="3"/>
        <v>7.9000000000000021</v>
      </c>
      <c r="E62">
        <f t="shared" si="5"/>
        <v>1.9999999999999645</v>
      </c>
      <c r="G62">
        <f t="shared" si="1"/>
        <v>66.6666666666667</v>
      </c>
      <c r="H62">
        <f t="shared" si="4"/>
        <v>16.666666666666632</v>
      </c>
      <c r="I62">
        <f t="shared" si="6"/>
        <v>-6.750155989720976E-13</v>
      </c>
    </row>
    <row r="63" spans="1:9">
      <c r="A63">
        <f t="shared" si="2"/>
        <v>4.1000000000000014</v>
      </c>
      <c r="C63">
        <f t="shared" si="0"/>
        <v>16.810000000000013</v>
      </c>
      <c r="D63">
        <f t="shared" si="3"/>
        <v>8.1000000000000156</v>
      </c>
      <c r="E63">
        <f t="shared" si="5"/>
        <v>2.0000000000001421</v>
      </c>
      <c r="G63">
        <f t="shared" si="1"/>
        <v>68.333333333333357</v>
      </c>
      <c r="H63">
        <f t="shared" si="4"/>
        <v>16.666666666666632</v>
      </c>
      <c r="I63">
        <f t="shared" si="6"/>
        <v>0</v>
      </c>
    </row>
    <row r="64" spans="1:9">
      <c r="A64">
        <f t="shared" si="2"/>
        <v>4.2000000000000011</v>
      </c>
      <c r="C64">
        <f t="shared" si="0"/>
        <v>17.640000000000008</v>
      </c>
      <c r="D64">
        <f t="shared" si="3"/>
        <v>8.2999999999999776</v>
      </c>
      <c r="E64">
        <f t="shared" si="5"/>
        <v>1.999999999999627</v>
      </c>
      <c r="G64">
        <f t="shared" si="1"/>
        <v>70.000000000000028</v>
      </c>
      <c r="H64">
        <f t="shared" si="4"/>
        <v>16.666666666666774</v>
      </c>
      <c r="I64">
        <f t="shared" si="6"/>
        <v>1.4210854715202054E-12</v>
      </c>
    </row>
    <row r="65" spans="1:9">
      <c r="A65">
        <f t="shared" si="2"/>
        <v>4.3000000000000007</v>
      </c>
      <c r="C65">
        <f t="shared" si="0"/>
        <v>18.490000000000006</v>
      </c>
      <c r="D65">
        <f t="shared" si="3"/>
        <v>8.5000000000000089</v>
      </c>
      <c r="E65">
        <f t="shared" si="5"/>
        <v>2.0000000000003197</v>
      </c>
      <c r="G65">
        <f t="shared" si="1"/>
        <v>71.666666666666686</v>
      </c>
      <c r="H65">
        <f t="shared" si="4"/>
        <v>16.666666666666632</v>
      </c>
      <c r="I65">
        <f t="shared" si="6"/>
        <v>-1.4210854715202054E-12</v>
      </c>
    </row>
    <row r="66" spans="1:9">
      <c r="A66">
        <f t="shared" si="2"/>
        <v>4.4000000000000004</v>
      </c>
      <c r="C66">
        <f t="shared" si="0"/>
        <v>19.360000000000003</v>
      </c>
      <c r="D66">
        <f t="shared" si="3"/>
        <v>8.7000000000000046</v>
      </c>
      <c r="E66">
        <f t="shared" si="5"/>
        <v>1.9999999999999645</v>
      </c>
      <c r="G66">
        <f t="shared" si="1"/>
        <v>73.333333333333343</v>
      </c>
      <c r="H66">
        <f t="shared" si="4"/>
        <v>16.666666666666632</v>
      </c>
      <c r="I66">
        <f t="shared" si="6"/>
        <v>0</v>
      </c>
    </row>
    <row r="67" spans="1:9">
      <c r="A67">
        <f t="shared" si="2"/>
        <v>4.5</v>
      </c>
      <c r="C67">
        <f t="shared" si="0"/>
        <v>20.25</v>
      </c>
      <c r="D67">
        <f t="shared" si="3"/>
        <v>8.9000000000000021</v>
      </c>
      <c r="E67">
        <f t="shared" si="5"/>
        <v>1.9999999999999822</v>
      </c>
      <c r="G67">
        <f t="shared" si="1"/>
        <v>75</v>
      </c>
      <c r="H67">
        <f t="shared" si="4"/>
        <v>16.666666666666632</v>
      </c>
      <c r="I67">
        <f t="shared" si="6"/>
        <v>0</v>
      </c>
    </row>
    <row r="68" spans="1:9">
      <c r="A68">
        <f t="shared" si="2"/>
        <v>4.5999999999999996</v>
      </c>
      <c r="C68">
        <f t="shared" si="0"/>
        <v>21.159999999999997</v>
      </c>
      <c r="D68">
        <f t="shared" si="3"/>
        <v>9.0999999999999979</v>
      </c>
      <c r="E68">
        <f t="shared" si="5"/>
        <v>1.9999999999999645</v>
      </c>
      <c r="G68">
        <f t="shared" si="1"/>
        <v>76.666666666666671</v>
      </c>
      <c r="H68">
        <f t="shared" si="4"/>
        <v>16.666666666666774</v>
      </c>
      <c r="I68">
        <f t="shared" si="6"/>
        <v>1.4210854715202054E-12</v>
      </c>
    </row>
    <row r="69" spans="1:9">
      <c r="A69">
        <f t="shared" si="2"/>
        <v>4.6999999999999993</v>
      </c>
      <c r="C69">
        <f t="shared" si="0"/>
        <v>22.089999999999993</v>
      </c>
      <c r="D69">
        <f t="shared" si="3"/>
        <v>9.2999999999999954</v>
      </c>
      <c r="E69">
        <f t="shared" si="5"/>
        <v>1.9999999999999822</v>
      </c>
      <c r="G69">
        <f t="shared" si="1"/>
        <v>78.333333333333329</v>
      </c>
      <c r="H69">
        <f t="shared" si="4"/>
        <v>16.666666666666632</v>
      </c>
      <c r="I69">
        <f t="shared" si="6"/>
        <v>-1.4210854715202054E-12</v>
      </c>
    </row>
    <row r="70" spans="1:9">
      <c r="A70">
        <f t="shared" si="2"/>
        <v>4.7999999999999989</v>
      </c>
      <c r="C70">
        <f t="shared" si="0"/>
        <v>23.039999999999988</v>
      </c>
      <c r="D70">
        <f t="shared" si="3"/>
        <v>9.4999999999999911</v>
      </c>
      <c r="E70">
        <f t="shared" si="5"/>
        <v>1.9999999999999645</v>
      </c>
      <c r="G70">
        <f t="shared" si="1"/>
        <v>79.999999999999986</v>
      </c>
      <c r="H70">
        <f t="shared" si="4"/>
        <v>16.666666666666632</v>
      </c>
      <c r="I70">
        <f t="shared" si="6"/>
        <v>0</v>
      </c>
    </row>
    <row r="71" spans="1:9">
      <c r="A71">
        <f t="shared" si="2"/>
        <v>4.8999999999999986</v>
      </c>
      <c r="C71">
        <f t="shared" si="0"/>
        <v>24.009999999999987</v>
      </c>
      <c r="D71">
        <f t="shared" si="3"/>
        <v>9.7000000000000224</v>
      </c>
      <c r="E71">
        <f t="shared" si="5"/>
        <v>2.0000000000003197</v>
      </c>
      <c r="G71">
        <f t="shared" si="1"/>
        <v>81.666666666666643</v>
      </c>
      <c r="H71">
        <f t="shared" si="4"/>
        <v>16.666666666666632</v>
      </c>
      <c r="I71">
        <f t="shared" si="6"/>
        <v>0</v>
      </c>
    </row>
    <row r="72" spans="1:9">
      <c r="A72">
        <f t="shared" si="2"/>
        <v>4.9999999999999982</v>
      </c>
      <c r="C72">
        <f t="shared" si="0"/>
        <v>24.999999999999982</v>
      </c>
      <c r="D72">
        <f t="shared" si="3"/>
        <v>9.8999999999999844</v>
      </c>
      <c r="E72">
        <f t="shared" si="5"/>
        <v>1.999999999999627</v>
      </c>
      <c r="G72">
        <f t="shared" si="1"/>
        <v>83.333333333333314</v>
      </c>
      <c r="H72">
        <f t="shared" si="4"/>
        <v>16.666666666666774</v>
      </c>
      <c r="I72">
        <f t="shared" si="6"/>
        <v>1.4210854715202054E-12</v>
      </c>
    </row>
    <row r="73" spans="1:9">
      <c r="A73">
        <f t="shared" si="2"/>
        <v>5.0999999999999979</v>
      </c>
      <c r="C73">
        <f t="shared" si="0"/>
        <v>26.009999999999977</v>
      </c>
      <c r="D73">
        <f t="shared" si="3"/>
        <v>10.09999999999998</v>
      </c>
      <c r="E73">
        <f t="shared" si="5"/>
        <v>1.9999999999999645</v>
      </c>
      <c r="G73">
        <f t="shared" si="1"/>
        <v>84.999999999999972</v>
      </c>
      <c r="H73">
        <f t="shared" si="4"/>
        <v>16.666666666666632</v>
      </c>
      <c r="I73">
        <f t="shared" si="6"/>
        <v>-1.4210854715202054E-12</v>
      </c>
    </row>
    <row r="74" spans="1:9">
      <c r="A74">
        <f t="shared" si="2"/>
        <v>5.1999999999999975</v>
      </c>
      <c r="C74">
        <f t="shared" si="0"/>
        <v>27.039999999999974</v>
      </c>
      <c r="D74">
        <f t="shared" si="3"/>
        <v>10.300000000000013</v>
      </c>
      <c r="E74">
        <f t="shared" si="5"/>
        <v>2.0000000000003375</v>
      </c>
      <c r="G74">
        <f t="shared" si="1"/>
        <v>86.666666666666629</v>
      </c>
      <c r="H74">
        <f t="shared" si="4"/>
        <v>16.666666666666632</v>
      </c>
      <c r="I74">
        <f t="shared" si="6"/>
        <v>0</v>
      </c>
    </row>
    <row r="75" spans="1:9">
      <c r="A75">
        <f t="shared" si="2"/>
        <v>5.2999999999999972</v>
      </c>
      <c r="C75">
        <f t="shared" si="0"/>
        <v>28.089999999999971</v>
      </c>
      <c r="D75">
        <f t="shared" si="3"/>
        <v>10.500000000000009</v>
      </c>
      <c r="E75">
        <f t="shared" si="5"/>
        <v>1.9999999999999645</v>
      </c>
      <c r="G75">
        <f t="shared" si="1"/>
        <v>88.333333333333286</v>
      </c>
      <c r="H75">
        <f t="shared" si="4"/>
        <v>16.666666666666632</v>
      </c>
      <c r="I75">
        <f t="shared" si="6"/>
        <v>0</v>
      </c>
    </row>
    <row r="76" spans="1:9">
      <c r="A76">
        <f t="shared" si="2"/>
        <v>5.3999999999999968</v>
      </c>
      <c r="C76">
        <f t="shared" si="0"/>
        <v>29.159999999999965</v>
      </c>
      <c r="D76">
        <f t="shared" si="3"/>
        <v>10.699999999999969</v>
      </c>
      <c r="E76">
        <f t="shared" si="5"/>
        <v>1.9999999999996092</v>
      </c>
      <c r="G76">
        <f t="shared" si="1"/>
        <v>89.999999999999957</v>
      </c>
      <c r="H76">
        <f t="shared" si="4"/>
        <v>16.666666666666774</v>
      </c>
      <c r="I76">
        <f t="shared" si="6"/>
        <v>1.4210854715202054E-12</v>
      </c>
    </row>
    <row r="77" spans="1:9">
      <c r="A77">
        <f t="shared" si="2"/>
        <v>5.4999999999999964</v>
      </c>
      <c r="C77">
        <f t="shared" si="0"/>
        <v>30.249999999999961</v>
      </c>
      <c r="D77">
        <f t="shared" si="3"/>
        <v>10.900000000000002</v>
      </c>
      <c r="E77">
        <f t="shared" si="5"/>
        <v>2.0000000000003375</v>
      </c>
      <c r="G77">
        <f t="shared" si="1"/>
        <v>91.666666666666615</v>
      </c>
      <c r="H77">
        <f t="shared" si="4"/>
        <v>16.666666666666632</v>
      </c>
      <c r="I77">
        <f t="shared" si="6"/>
        <v>-1.4210854715202054E-12</v>
      </c>
    </row>
    <row r="78" spans="1:9">
      <c r="A78">
        <f t="shared" si="2"/>
        <v>5.5999999999999961</v>
      </c>
      <c r="C78">
        <f t="shared" si="0"/>
        <v>31.359999999999957</v>
      </c>
      <c r="D78">
        <f t="shared" si="3"/>
        <v>11.099999999999998</v>
      </c>
      <c r="E78">
        <f t="shared" si="5"/>
        <v>1.9999999999999645</v>
      </c>
      <c r="G78">
        <f t="shared" si="1"/>
        <v>93.333333333333272</v>
      </c>
      <c r="H78">
        <f t="shared" si="4"/>
        <v>16.666666666666632</v>
      </c>
      <c r="I78">
        <f t="shared" si="6"/>
        <v>0</v>
      </c>
    </row>
    <row r="79" spans="1:9">
      <c r="A79">
        <f t="shared" si="2"/>
        <v>5.6999999999999957</v>
      </c>
      <c r="C79">
        <f t="shared" si="0"/>
        <v>32.489999999999952</v>
      </c>
      <c r="D79">
        <f t="shared" si="3"/>
        <v>11.299999999999995</v>
      </c>
      <c r="E79">
        <f t="shared" si="5"/>
        <v>1.9999999999999822</v>
      </c>
      <c r="G79">
        <f t="shared" si="1"/>
        <v>94.999999999999929</v>
      </c>
      <c r="H79">
        <f t="shared" si="4"/>
        <v>16.666666666666632</v>
      </c>
      <c r="I79">
        <f t="shared" si="6"/>
        <v>0</v>
      </c>
    </row>
    <row r="80" spans="1:9">
      <c r="A80">
        <f t="shared" si="2"/>
        <v>5.7999999999999954</v>
      </c>
      <c r="C80">
        <f t="shared" si="0"/>
        <v>33.639999999999944</v>
      </c>
      <c r="D80">
        <f t="shared" si="3"/>
        <v>11.499999999999956</v>
      </c>
      <c r="E80">
        <f t="shared" si="5"/>
        <v>1.9999999999996092</v>
      </c>
      <c r="G80">
        <f t="shared" si="1"/>
        <v>96.6666666666666</v>
      </c>
      <c r="H80">
        <f t="shared" si="4"/>
        <v>16.666666666666774</v>
      </c>
      <c r="I80">
        <f t="shared" si="6"/>
        <v>1.4210854715202054E-12</v>
      </c>
    </row>
    <row r="81" spans="1:9">
      <c r="A81">
        <f t="shared" si="2"/>
        <v>5.899999999999995</v>
      </c>
      <c r="C81">
        <f t="shared" si="0"/>
        <v>34.809999999999938</v>
      </c>
      <c r="D81">
        <f t="shared" si="3"/>
        <v>11.699999999999987</v>
      </c>
      <c r="E81">
        <f t="shared" si="5"/>
        <v>2.0000000000003197</v>
      </c>
      <c r="G81">
        <f t="shared" si="1"/>
        <v>98.333333333333258</v>
      </c>
      <c r="H81">
        <f t="shared" si="4"/>
        <v>16.666666666666632</v>
      </c>
      <c r="I81">
        <f t="shared" si="6"/>
        <v>-1.4210854715202054E-12</v>
      </c>
    </row>
    <row r="82" spans="1:9">
      <c r="A82">
        <f t="shared" si="2"/>
        <v>5.9999999999999947</v>
      </c>
      <c r="C82">
        <f t="shared" si="0"/>
        <v>35.999999999999936</v>
      </c>
      <c r="D82">
        <f t="shared" si="3"/>
        <v>11.90000000000002</v>
      </c>
      <c r="E82">
        <f t="shared" si="5"/>
        <v>2.0000000000003375</v>
      </c>
      <c r="G82">
        <f t="shared" si="1"/>
        <v>99.999999999999915</v>
      </c>
      <c r="H82">
        <f t="shared" si="4"/>
        <v>16.666666666666632</v>
      </c>
      <c r="I82">
        <f t="shared" si="6"/>
        <v>0</v>
      </c>
    </row>
    <row r="83" spans="1:9">
      <c r="A83">
        <f t="shared" si="2"/>
        <v>6.0999999999999943</v>
      </c>
      <c r="C83">
        <f t="shared" si="0"/>
        <v>37.20999999999993</v>
      </c>
      <c r="D83">
        <f t="shared" si="3"/>
        <v>12.09999999999998</v>
      </c>
      <c r="E83">
        <f t="shared" si="5"/>
        <v>1.9999999999996092</v>
      </c>
      <c r="G83">
        <f t="shared" si="1"/>
        <v>101.66666666666659</v>
      </c>
      <c r="H83">
        <f t="shared" si="4"/>
        <v>16.666666666666774</v>
      </c>
      <c r="I83">
        <f t="shared" si="6"/>
        <v>1.4210854715202054E-12</v>
      </c>
    </row>
    <row r="84" spans="1:9">
      <c r="A84">
        <f t="shared" si="2"/>
        <v>6.199999999999994</v>
      </c>
      <c r="C84">
        <f t="shared" si="0"/>
        <v>38.439999999999927</v>
      </c>
      <c r="D84">
        <f t="shared" si="3"/>
        <v>12.300000000000013</v>
      </c>
      <c r="E84">
        <f t="shared" si="5"/>
        <v>2.0000000000003375</v>
      </c>
      <c r="G84">
        <f t="shared" si="1"/>
        <v>103.33333333333324</v>
      </c>
      <c r="H84">
        <f t="shared" si="4"/>
        <v>16.666666666666632</v>
      </c>
      <c r="I84">
        <f t="shared" si="6"/>
        <v>-1.4210854715202054E-12</v>
      </c>
    </row>
    <row r="85" spans="1:9">
      <c r="A85">
        <f t="shared" si="2"/>
        <v>6.2999999999999936</v>
      </c>
      <c r="C85">
        <f t="shared" si="0"/>
        <v>39.68999999999992</v>
      </c>
      <c r="D85">
        <f t="shared" si="3"/>
        <v>12.499999999999973</v>
      </c>
      <c r="E85">
        <f t="shared" si="5"/>
        <v>1.9999999999996092</v>
      </c>
      <c r="G85">
        <f t="shared" si="1"/>
        <v>104.9999999999999</v>
      </c>
      <c r="H85">
        <f t="shared" si="4"/>
        <v>16.666666666666632</v>
      </c>
      <c r="I85">
        <f t="shared" si="6"/>
        <v>0</v>
      </c>
    </row>
    <row r="86" spans="1:9">
      <c r="A86">
        <f t="shared" si="2"/>
        <v>6.3999999999999932</v>
      </c>
      <c r="C86">
        <f t="shared" si="0"/>
        <v>40.959999999999916</v>
      </c>
      <c r="D86">
        <f t="shared" si="3"/>
        <v>12.700000000000005</v>
      </c>
      <c r="E86">
        <f t="shared" si="5"/>
        <v>2.0000000000003197</v>
      </c>
      <c r="G86">
        <f t="shared" si="1"/>
        <v>106.66666666666656</v>
      </c>
      <c r="H86">
        <f t="shared" si="4"/>
        <v>16.666666666666632</v>
      </c>
      <c r="I86">
        <f t="shared" si="6"/>
        <v>0</v>
      </c>
    </row>
    <row r="87" spans="1:9">
      <c r="A87">
        <f t="shared" si="2"/>
        <v>6.4999999999999929</v>
      </c>
      <c r="C87">
        <f t="shared" ref="C87:C116" si="7">$D$15+$D$16*A87+($D$17*A87^2)/2</f>
        <v>42.249999999999908</v>
      </c>
      <c r="D87">
        <f t="shared" si="3"/>
        <v>12.899999999999967</v>
      </c>
      <c r="E87">
        <f t="shared" si="5"/>
        <v>1.999999999999627</v>
      </c>
      <c r="G87">
        <f t="shared" ref="G87:G116" si="8">$H$16+$K$15*A87</f>
        <v>108.33333333333323</v>
      </c>
      <c r="H87">
        <f t="shared" si="4"/>
        <v>16.666666666666774</v>
      </c>
      <c r="I87">
        <f t="shared" si="6"/>
        <v>1.4210854715202054E-12</v>
      </c>
    </row>
    <row r="88" spans="1:9">
      <c r="A88">
        <f t="shared" ref="A88:A116" si="9">A87+$B$20</f>
        <v>6.5999999999999925</v>
      </c>
      <c r="C88">
        <f t="shared" si="7"/>
        <v>43.559999999999903</v>
      </c>
      <c r="D88">
        <f t="shared" ref="D88:D151" si="10">(C88-C87)/(A88-A87)</f>
        <v>13.099999999999998</v>
      </c>
      <c r="E88">
        <f t="shared" si="5"/>
        <v>2.0000000000003197</v>
      </c>
      <c r="G88">
        <f t="shared" si="8"/>
        <v>109.99999999999989</v>
      </c>
      <c r="H88">
        <f t="shared" ref="H88:H151" si="11">(G88-G87)/(A88-A87)</f>
        <v>16.666666666666632</v>
      </c>
      <c r="I88">
        <f t="shared" si="6"/>
        <v>-1.4210854715202054E-12</v>
      </c>
    </row>
    <row r="89" spans="1:9">
      <c r="A89">
        <f t="shared" si="9"/>
        <v>6.6999999999999922</v>
      </c>
      <c r="C89">
        <f t="shared" si="7"/>
        <v>44.889999999999894</v>
      </c>
      <c r="D89">
        <f t="shared" si="10"/>
        <v>13.29999999999996</v>
      </c>
      <c r="E89">
        <f t="shared" ref="E89:E152" si="12">(D89-D88)/(A89-A88)</f>
        <v>1.999999999999627</v>
      </c>
      <c r="G89">
        <f t="shared" si="8"/>
        <v>111.66666666666654</v>
      </c>
      <c r="H89">
        <f t="shared" si="11"/>
        <v>16.666666666666632</v>
      </c>
      <c r="I89">
        <f t="shared" si="6"/>
        <v>0</v>
      </c>
    </row>
    <row r="90" spans="1:9">
      <c r="A90">
        <f t="shared" si="9"/>
        <v>6.7999999999999918</v>
      </c>
      <c r="C90">
        <f t="shared" si="7"/>
        <v>46.239999999999888</v>
      </c>
      <c r="D90">
        <f t="shared" si="10"/>
        <v>13.499999999999991</v>
      </c>
      <c r="E90">
        <f t="shared" si="12"/>
        <v>2.0000000000003197</v>
      </c>
      <c r="G90">
        <f t="shared" si="8"/>
        <v>113.3333333333332</v>
      </c>
      <c r="H90">
        <f t="shared" si="11"/>
        <v>16.666666666666632</v>
      </c>
      <c r="I90">
        <f t="shared" si="6"/>
        <v>0</v>
      </c>
    </row>
    <row r="91" spans="1:9">
      <c r="A91">
        <f t="shared" si="9"/>
        <v>6.8999999999999915</v>
      </c>
      <c r="C91">
        <f t="shared" si="7"/>
        <v>47.609999999999886</v>
      </c>
      <c r="D91">
        <f t="shared" si="10"/>
        <v>13.700000000000022</v>
      </c>
      <c r="E91">
        <f t="shared" si="12"/>
        <v>2.0000000000003197</v>
      </c>
      <c r="G91">
        <f t="shared" si="8"/>
        <v>114.99999999999987</v>
      </c>
      <c r="H91">
        <f t="shared" si="11"/>
        <v>16.666666666666774</v>
      </c>
      <c r="I91">
        <f t="shared" ref="I91:I154" si="13">(H91-H90)/(A91-A90)</f>
        <v>1.4210854715202054E-12</v>
      </c>
    </row>
    <row r="92" spans="1:9">
      <c r="A92">
        <f t="shared" si="9"/>
        <v>6.9999999999999911</v>
      </c>
      <c r="C92">
        <f t="shared" si="7"/>
        <v>48.999999999999872</v>
      </c>
      <c r="D92">
        <f t="shared" si="10"/>
        <v>13.899999999999913</v>
      </c>
      <c r="E92">
        <f t="shared" si="12"/>
        <v>1.9999999999989164</v>
      </c>
      <c r="G92">
        <f t="shared" si="8"/>
        <v>116.66666666666653</v>
      </c>
      <c r="H92">
        <f t="shared" si="11"/>
        <v>16.666666666666632</v>
      </c>
      <c r="I92">
        <f t="shared" si="13"/>
        <v>-1.4210854715202054E-12</v>
      </c>
    </row>
    <row r="93" spans="1:9">
      <c r="A93">
        <f t="shared" si="9"/>
        <v>7.0999999999999908</v>
      </c>
      <c r="C93">
        <f t="shared" si="7"/>
        <v>50.409999999999869</v>
      </c>
      <c r="D93">
        <f t="shared" si="10"/>
        <v>14.100000000000016</v>
      </c>
      <c r="E93">
        <f t="shared" si="12"/>
        <v>2.0000000000010303</v>
      </c>
      <c r="G93">
        <f t="shared" si="8"/>
        <v>118.33333333333319</v>
      </c>
      <c r="H93">
        <f t="shared" si="11"/>
        <v>16.666666666666632</v>
      </c>
      <c r="I93">
        <f t="shared" si="13"/>
        <v>0</v>
      </c>
    </row>
    <row r="94" spans="1:9">
      <c r="A94">
        <f t="shared" si="9"/>
        <v>7.1999999999999904</v>
      </c>
      <c r="C94">
        <f t="shared" si="7"/>
        <v>51.839999999999861</v>
      </c>
      <c r="D94">
        <f t="shared" si="10"/>
        <v>14.299999999999978</v>
      </c>
      <c r="E94">
        <f t="shared" si="12"/>
        <v>1.999999999999627</v>
      </c>
      <c r="G94">
        <f t="shared" si="8"/>
        <v>119.99999999999984</v>
      </c>
      <c r="H94">
        <f t="shared" si="11"/>
        <v>16.666666666666632</v>
      </c>
      <c r="I94">
        <f t="shared" si="13"/>
        <v>0</v>
      </c>
    </row>
    <row r="95" spans="1:9">
      <c r="A95">
        <f t="shared" si="9"/>
        <v>7.2999999999999901</v>
      </c>
      <c r="C95">
        <f t="shared" si="7"/>
        <v>53.289999999999857</v>
      </c>
      <c r="D95">
        <f t="shared" si="10"/>
        <v>14.500000000000009</v>
      </c>
      <c r="E95">
        <f t="shared" si="12"/>
        <v>2.0000000000003197</v>
      </c>
      <c r="G95">
        <f t="shared" si="8"/>
        <v>121.66666666666652</v>
      </c>
      <c r="H95">
        <f t="shared" si="11"/>
        <v>16.666666666666774</v>
      </c>
      <c r="I95">
        <f t="shared" si="13"/>
        <v>1.4210854715202054E-12</v>
      </c>
    </row>
    <row r="96" spans="1:9">
      <c r="A96">
        <f t="shared" si="9"/>
        <v>7.3999999999999897</v>
      </c>
      <c r="C96">
        <f t="shared" si="7"/>
        <v>54.759999999999849</v>
      </c>
      <c r="D96">
        <f t="shared" si="10"/>
        <v>14.699999999999969</v>
      </c>
      <c r="E96">
        <f t="shared" si="12"/>
        <v>1.9999999999996092</v>
      </c>
      <c r="G96">
        <f t="shared" si="8"/>
        <v>123.33333333333317</v>
      </c>
      <c r="H96">
        <f t="shared" si="11"/>
        <v>16.666666666666632</v>
      </c>
      <c r="I96">
        <f t="shared" si="13"/>
        <v>-1.4210854715202054E-12</v>
      </c>
    </row>
    <row r="97" spans="1:9">
      <c r="A97">
        <f t="shared" si="9"/>
        <v>7.4999999999999893</v>
      </c>
      <c r="C97">
        <f t="shared" si="7"/>
        <v>56.249999999999844</v>
      </c>
      <c r="D97">
        <f t="shared" si="10"/>
        <v>14.900000000000002</v>
      </c>
      <c r="E97">
        <f t="shared" si="12"/>
        <v>2.0000000000003375</v>
      </c>
      <c r="G97">
        <f t="shared" si="8"/>
        <v>124.99999999999983</v>
      </c>
      <c r="H97">
        <f t="shared" si="11"/>
        <v>16.666666666666632</v>
      </c>
      <c r="I97">
        <f t="shared" si="13"/>
        <v>0</v>
      </c>
    </row>
    <row r="98" spans="1:9">
      <c r="A98">
        <f t="shared" si="9"/>
        <v>7.599999999999989</v>
      </c>
      <c r="C98">
        <f t="shared" si="7"/>
        <v>57.759999999999835</v>
      </c>
      <c r="D98">
        <f t="shared" si="10"/>
        <v>15.099999999999962</v>
      </c>
      <c r="E98">
        <f t="shared" si="12"/>
        <v>1.9999999999996092</v>
      </c>
      <c r="G98">
        <f t="shared" si="8"/>
        <v>126.66666666666649</v>
      </c>
      <c r="H98">
        <f t="shared" si="11"/>
        <v>16.666666666666632</v>
      </c>
      <c r="I98">
        <f t="shared" si="13"/>
        <v>0</v>
      </c>
    </row>
    <row r="99" spans="1:9">
      <c r="A99">
        <f t="shared" si="9"/>
        <v>7.6999999999999886</v>
      </c>
      <c r="C99">
        <f t="shared" si="7"/>
        <v>59.289999999999822</v>
      </c>
      <c r="D99">
        <f t="shared" si="10"/>
        <v>15.299999999999924</v>
      </c>
      <c r="E99">
        <f t="shared" si="12"/>
        <v>1.999999999999627</v>
      </c>
      <c r="G99">
        <f t="shared" si="8"/>
        <v>128.33333333333314</v>
      </c>
      <c r="H99">
        <f t="shared" si="11"/>
        <v>16.666666666666632</v>
      </c>
      <c r="I99">
        <f t="shared" si="13"/>
        <v>0</v>
      </c>
    </row>
    <row r="100" spans="1:9">
      <c r="A100">
        <f t="shared" si="9"/>
        <v>7.7999999999999883</v>
      </c>
      <c r="C100">
        <f t="shared" si="7"/>
        <v>60.839999999999819</v>
      </c>
      <c r="D100">
        <f t="shared" si="10"/>
        <v>15.500000000000027</v>
      </c>
      <c r="E100">
        <f t="shared" si="12"/>
        <v>2.0000000000010303</v>
      </c>
      <c r="G100">
        <f t="shared" si="8"/>
        <v>129.9999999999998</v>
      </c>
      <c r="H100">
        <f t="shared" si="11"/>
        <v>16.666666666666632</v>
      </c>
      <c r="I100">
        <f t="shared" si="13"/>
        <v>0</v>
      </c>
    </row>
    <row r="101" spans="1:9">
      <c r="A101">
        <f t="shared" si="9"/>
        <v>7.8999999999999879</v>
      </c>
      <c r="C101">
        <f t="shared" si="7"/>
        <v>62.409999999999812</v>
      </c>
      <c r="D101">
        <f t="shared" si="10"/>
        <v>15.699999999999987</v>
      </c>
      <c r="E101">
        <f t="shared" si="12"/>
        <v>1.9999999999996092</v>
      </c>
      <c r="G101">
        <f t="shared" si="8"/>
        <v>131.66666666666649</v>
      </c>
      <c r="H101">
        <f t="shared" si="11"/>
        <v>16.666666666666917</v>
      </c>
      <c r="I101">
        <f t="shared" si="13"/>
        <v>2.8421709430404108E-12</v>
      </c>
    </row>
    <row r="102" spans="1:9">
      <c r="A102">
        <f t="shared" si="9"/>
        <v>7.9999999999999876</v>
      </c>
      <c r="C102">
        <f t="shared" si="7"/>
        <v>63.999999999999801</v>
      </c>
      <c r="D102">
        <f t="shared" si="10"/>
        <v>15.899999999999949</v>
      </c>
      <c r="E102">
        <f t="shared" si="12"/>
        <v>1.999999999999627</v>
      </c>
      <c r="G102">
        <f t="shared" si="8"/>
        <v>133.33333333333314</v>
      </c>
      <c r="H102">
        <f t="shared" si="11"/>
        <v>16.666666666666632</v>
      </c>
      <c r="I102">
        <f t="shared" si="13"/>
        <v>-2.8421709430404108E-12</v>
      </c>
    </row>
    <row r="103" spans="1:9">
      <c r="A103">
        <f t="shared" si="9"/>
        <v>8.0999999999999872</v>
      </c>
      <c r="C103">
        <f t="shared" si="7"/>
        <v>65.609999999999786</v>
      </c>
      <c r="D103">
        <f t="shared" si="10"/>
        <v>16.099999999999909</v>
      </c>
      <c r="E103">
        <f t="shared" si="12"/>
        <v>1.9999999999996092</v>
      </c>
      <c r="G103">
        <f t="shared" si="8"/>
        <v>134.9999999999998</v>
      </c>
      <c r="H103">
        <f t="shared" si="11"/>
        <v>16.666666666666632</v>
      </c>
      <c r="I103">
        <f t="shared" si="13"/>
        <v>0</v>
      </c>
    </row>
    <row r="104" spans="1:9">
      <c r="A104">
        <f t="shared" si="9"/>
        <v>8.1999999999999869</v>
      </c>
      <c r="C104">
        <f t="shared" si="7"/>
        <v>67.239999999999782</v>
      </c>
      <c r="D104">
        <f t="shared" si="10"/>
        <v>16.300000000000011</v>
      </c>
      <c r="E104">
        <f t="shared" si="12"/>
        <v>2.0000000000010303</v>
      </c>
      <c r="G104">
        <f t="shared" si="8"/>
        <v>136.66666666666646</v>
      </c>
      <c r="H104">
        <f t="shared" si="11"/>
        <v>16.666666666666632</v>
      </c>
      <c r="I104">
        <f t="shared" si="13"/>
        <v>0</v>
      </c>
    </row>
    <row r="105" spans="1:9">
      <c r="A105">
        <f t="shared" si="9"/>
        <v>8.2999999999999865</v>
      </c>
      <c r="C105">
        <f t="shared" si="7"/>
        <v>68.889999999999773</v>
      </c>
      <c r="D105">
        <f t="shared" si="10"/>
        <v>16.499999999999972</v>
      </c>
      <c r="E105">
        <f t="shared" si="12"/>
        <v>1.9999999999996092</v>
      </c>
      <c r="G105">
        <f t="shared" si="8"/>
        <v>138.33333333333312</v>
      </c>
      <c r="H105">
        <f t="shared" si="11"/>
        <v>16.666666666666632</v>
      </c>
      <c r="I105">
        <f t="shared" si="13"/>
        <v>0</v>
      </c>
    </row>
    <row r="106" spans="1:9">
      <c r="A106">
        <f t="shared" si="9"/>
        <v>8.3999999999999861</v>
      </c>
      <c r="C106">
        <f t="shared" si="7"/>
        <v>70.559999999999761</v>
      </c>
      <c r="D106">
        <f t="shared" si="10"/>
        <v>16.699999999999935</v>
      </c>
      <c r="E106">
        <f t="shared" si="12"/>
        <v>1.9999999999996447</v>
      </c>
      <c r="G106">
        <f t="shared" si="8"/>
        <v>139.99999999999977</v>
      </c>
      <c r="H106">
        <f t="shared" si="11"/>
        <v>16.666666666666632</v>
      </c>
      <c r="I106">
        <f t="shared" si="13"/>
        <v>0</v>
      </c>
    </row>
    <row r="107" spans="1:9">
      <c r="A107">
        <f t="shared" si="9"/>
        <v>8.4999999999999858</v>
      </c>
      <c r="C107">
        <f t="shared" si="7"/>
        <v>72.249999999999758</v>
      </c>
      <c r="D107">
        <f t="shared" si="10"/>
        <v>16.900000000000038</v>
      </c>
      <c r="E107">
        <f t="shared" si="12"/>
        <v>2.0000000000010303</v>
      </c>
      <c r="G107">
        <f t="shared" si="8"/>
        <v>141.66666666666643</v>
      </c>
      <c r="H107">
        <f t="shared" si="11"/>
        <v>16.666666666666632</v>
      </c>
      <c r="I107">
        <f t="shared" si="13"/>
        <v>0</v>
      </c>
    </row>
    <row r="108" spans="1:9">
      <c r="A108">
        <f t="shared" si="9"/>
        <v>8.5999999999999854</v>
      </c>
      <c r="C108">
        <f t="shared" si="7"/>
        <v>73.959999999999752</v>
      </c>
      <c r="D108">
        <f t="shared" si="10"/>
        <v>17.099999999999998</v>
      </c>
      <c r="E108">
        <f t="shared" si="12"/>
        <v>1.9999999999996092</v>
      </c>
      <c r="G108">
        <f t="shared" si="8"/>
        <v>143.33333333333309</v>
      </c>
      <c r="H108">
        <f t="shared" si="11"/>
        <v>16.666666666666632</v>
      </c>
      <c r="I108">
        <f t="shared" si="13"/>
        <v>0</v>
      </c>
    </row>
    <row r="109" spans="1:9">
      <c r="A109">
        <f t="shared" si="9"/>
        <v>8.6999999999999851</v>
      </c>
      <c r="C109">
        <f t="shared" si="7"/>
        <v>75.689999999999742</v>
      </c>
      <c r="D109">
        <f t="shared" si="10"/>
        <v>17.299999999999958</v>
      </c>
      <c r="E109">
        <f t="shared" si="12"/>
        <v>1.9999999999996092</v>
      </c>
      <c r="G109">
        <f t="shared" si="8"/>
        <v>144.99999999999977</v>
      </c>
      <c r="H109">
        <f t="shared" si="11"/>
        <v>16.666666666666917</v>
      </c>
      <c r="I109">
        <f t="shared" si="13"/>
        <v>2.8421709430404108E-12</v>
      </c>
    </row>
    <row r="110" spans="1:9">
      <c r="A110">
        <f t="shared" si="9"/>
        <v>8.7999999999999847</v>
      </c>
      <c r="C110">
        <f t="shared" si="7"/>
        <v>77.439999999999728</v>
      </c>
      <c r="D110">
        <f t="shared" si="10"/>
        <v>17.499999999999922</v>
      </c>
      <c r="E110">
        <f t="shared" si="12"/>
        <v>1.9999999999996447</v>
      </c>
      <c r="G110">
        <f t="shared" si="8"/>
        <v>146.66666666666643</v>
      </c>
      <c r="H110">
        <f t="shared" si="11"/>
        <v>16.666666666666632</v>
      </c>
      <c r="I110">
        <f t="shared" si="13"/>
        <v>-2.8421709430404108E-12</v>
      </c>
    </row>
    <row r="111" spans="1:9">
      <c r="A111">
        <f t="shared" si="9"/>
        <v>8.8999999999999844</v>
      </c>
      <c r="C111">
        <f t="shared" si="7"/>
        <v>79.209999999999724</v>
      </c>
      <c r="D111">
        <f t="shared" si="10"/>
        <v>17.700000000000024</v>
      </c>
      <c r="E111">
        <f t="shared" si="12"/>
        <v>2.0000000000010303</v>
      </c>
      <c r="G111">
        <f t="shared" si="8"/>
        <v>148.33333333333309</v>
      </c>
      <c r="H111">
        <f t="shared" si="11"/>
        <v>16.666666666666632</v>
      </c>
      <c r="I111">
        <f t="shared" si="13"/>
        <v>0</v>
      </c>
    </row>
    <row r="112" spans="1:9">
      <c r="A112">
        <f t="shared" si="9"/>
        <v>8.999999999999984</v>
      </c>
      <c r="C112">
        <f t="shared" si="7"/>
        <v>80.999999999999716</v>
      </c>
      <c r="D112">
        <f t="shared" si="10"/>
        <v>17.899999999999984</v>
      </c>
      <c r="E112">
        <f t="shared" si="12"/>
        <v>1.9999999999996092</v>
      </c>
      <c r="G112">
        <f t="shared" si="8"/>
        <v>149.99999999999974</v>
      </c>
      <c r="H112">
        <f t="shared" si="11"/>
        <v>16.666666666666632</v>
      </c>
      <c r="I112">
        <f t="shared" si="13"/>
        <v>0</v>
      </c>
    </row>
    <row r="113" spans="1:9">
      <c r="A113">
        <f t="shared" si="9"/>
        <v>9.0999999999999837</v>
      </c>
      <c r="C113">
        <f t="shared" si="7"/>
        <v>82.809999999999704</v>
      </c>
      <c r="D113">
        <f t="shared" si="10"/>
        <v>18.099999999999945</v>
      </c>
      <c r="E113">
        <f t="shared" si="12"/>
        <v>1.9999999999996092</v>
      </c>
      <c r="G113">
        <f t="shared" si="8"/>
        <v>151.6666666666664</v>
      </c>
      <c r="H113">
        <f t="shared" si="11"/>
        <v>16.666666666666632</v>
      </c>
      <c r="I113">
        <f t="shared" si="13"/>
        <v>0</v>
      </c>
    </row>
    <row r="114" spans="1:9">
      <c r="A114">
        <f t="shared" si="9"/>
        <v>9.1999999999999833</v>
      </c>
      <c r="C114">
        <f t="shared" si="7"/>
        <v>84.639999999999688</v>
      </c>
      <c r="D114">
        <f t="shared" si="10"/>
        <v>18.299999999999905</v>
      </c>
      <c r="E114">
        <f t="shared" si="12"/>
        <v>1.9999999999996092</v>
      </c>
      <c r="G114">
        <f t="shared" si="8"/>
        <v>153.33333333333306</v>
      </c>
      <c r="H114">
        <f t="shared" si="11"/>
        <v>16.666666666666632</v>
      </c>
      <c r="I114">
        <f t="shared" si="13"/>
        <v>0</v>
      </c>
    </row>
    <row r="115" spans="1:9">
      <c r="A115">
        <f t="shared" si="9"/>
        <v>9.2999999999999829</v>
      </c>
      <c r="C115">
        <f t="shared" si="7"/>
        <v>86.489999999999682</v>
      </c>
      <c r="D115">
        <f t="shared" si="10"/>
        <v>18.500000000000007</v>
      </c>
      <c r="E115">
        <f t="shared" si="12"/>
        <v>2.0000000000010303</v>
      </c>
      <c r="G115">
        <f t="shared" si="8"/>
        <v>154.99999999999972</v>
      </c>
      <c r="H115">
        <f t="shared" si="11"/>
        <v>16.666666666666632</v>
      </c>
      <c r="I115">
        <f t="shared" si="13"/>
        <v>0</v>
      </c>
    </row>
    <row r="116" spans="1:9">
      <c r="A116">
        <f t="shared" si="9"/>
        <v>9.3999999999999826</v>
      </c>
      <c r="C116">
        <f t="shared" si="7"/>
        <v>88.359999999999673</v>
      </c>
      <c r="D116">
        <f t="shared" si="10"/>
        <v>18.699999999999971</v>
      </c>
      <c r="E116">
        <f t="shared" si="12"/>
        <v>1.9999999999996447</v>
      </c>
      <c r="G116">
        <f t="shared" si="8"/>
        <v>156.6666666666664</v>
      </c>
      <c r="H116">
        <f t="shared" si="11"/>
        <v>16.666666666666917</v>
      </c>
      <c r="I116">
        <f t="shared" si="13"/>
        <v>2.8421709430404108E-12</v>
      </c>
    </row>
    <row r="117" spans="1:9">
      <c r="A117">
        <f t="shared" ref="A117:A151" si="14">A116+$B$20</f>
        <v>9.4999999999999822</v>
      </c>
      <c r="C117">
        <f t="shared" ref="C117:C122" si="15">$D$15+$D$16*A117+($D$17*A117^2)/2</f>
        <v>90.249999999999659</v>
      </c>
      <c r="D117">
        <f t="shared" si="10"/>
        <v>18.899999999999931</v>
      </c>
      <c r="E117">
        <f t="shared" si="12"/>
        <v>1.9999999999996092</v>
      </c>
      <c r="G117">
        <f t="shared" ref="G117:G122" si="16">$H$16+$K$15*A117</f>
        <v>158.33333333333306</v>
      </c>
      <c r="H117">
        <f t="shared" si="11"/>
        <v>16.666666666666632</v>
      </c>
      <c r="I117">
        <f t="shared" si="13"/>
        <v>-2.8421709430404108E-12</v>
      </c>
    </row>
    <row r="118" spans="1:9">
      <c r="A118">
        <f t="shared" si="14"/>
        <v>9.5999999999999819</v>
      </c>
      <c r="C118">
        <f t="shared" si="15"/>
        <v>92.159999999999656</v>
      </c>
      <c r="D118">
        <f t="shared" si="10"/>
        <v>19.100000000000033</v>
      </c>
      <c r="E118">
        <f t="shared" si="12"/>
        <v>2.0000000000010303</v>
      </c>
      <c r="G118">
        <f t="shared" si="16"/>
        <v>159.99999999999972</v>
      </c>
      <c r="H118">
        <f t="shared" si="11"/>
        <v>16.666666666666632</v>
      </c>
      <c r="I118">
        <f t="shared" si="13"/>
        <v>0</v>
      </c>
    </row>
    <row r="119" spans="1:9">
      <c r="A119">
        <f t="shared" si="14"/>
        <v>9.6999999999999815</v>
      </c>
      <c r="C119">
        <f t="shared" si="15"/>
        <v>94.089999999999648</v>
      </c>
      <c r="D119">
        <f t="shared" si="10"/>
        <v>19.299999999999994</v>
      </c>
      <c r="E119">
        <f t="shared" si="12"/>
        <v>1.9999999999996092</v>
      </c>
      <c r="G119">
        <f t="shared" si="16"/>
        <v>161.66666666666637</v>
      </c>
      <c r="H119">
        <f t="shared" si="11"/>
        <v>16.666666666666632</v>
      </c>
      <c r="I119">
        <f t="shared" si="13"/>
        <v>0</v>
      </c>
    </row>
    <row r="120" spans="1:9">
      <c r="A120">
        <f t="shared" si="14"/>
        <v>9.7999999999999812</v>
      </c>
      <c r="C120">
        <f t="shared" si="15"/>
        <v>96.039999999999637</v>
      </c>
      <c r="D120">
        <f t="shared" si="10"/>
        <v>19.499999999999957</v>
      </c>
      <c r="E120">
        <f t="shared" si="12"/>
        <v>1.9999999999996447</v>
      </c>
      <c r="G120">
        <f t="shared" si="16"/>
        <v>163.33333333333303</v>
      </c>
      <c r="H120">
        <f t="shared" si="11"/>
        <v>16.666666666666632</v>
      </c>
      <c r="I120">
        <f t="shared" si="13"/>
        <v>0</v>
      </c>
    </row>
    <row r="121" spans="1:9">
      <c r="A121">
        <f t="shared" si="14"/>
        <v>9.8999999999999808</v>
      </c>
      <c r="C121">
        <f t="shared" si="15"/>
        <v>98.009999999999621</v>
      </c>
      <c r="D121">
        <f t="shared" si="10"/>
        <v>19.699999999999918</v>
      </c>
      <c r="E121">
        <f t="shared" si="12"/>
        <v>1.9999999999996092</v>
      </c>
      <c r="G121">
        <f t="shared" si="16"/>
        <v>164.99999999999969</v>
      </c>
      <c r="H121">
        <f t="shared" si="11"/>
        <v>16.666666666666632</v>
      </c>
      <c r="I121">
        <f t="shared" si="13"/>
        <v>0</v>
      </c>
    </row>
    <row r="122" spans="1:9">
      <c r="A122">
        <f t="shared" si="14"/>
        <v>9.9999999999999805</v>
      </c>
      <c r="C122">
        <f t="shared" si="15"/>
        <v>99.999999999999602</v>
      </c>
      <c r="D122">
        <f t="shared" si="10"/>
        <v>19.899999999999878</v>
      </c>
      <c r="E122">
        <f t="shared" si="12"/>
        <v>1.9999999999996092</v>
      </c>
      <c r="G122">
        <f t="shared" si="16"/>
        <v>166.66666666666634</v>
      </c>
      <c r="H122">
        <f t="shared" si="11"/>
        <v>16.666666666666632</v>
      </c>
      <c r="I122">
        <f t="shared" si="13"/>
        <v>0</v>
      </c>
    </row>
    <row r="123" spans="1:9">
      <c r="A123">
        <f t="shared" si="14"/>
        <v>10.09999999999998</v>
      </c>
      <c r="C123">
        <f t="shared" ref="C123:C186" si="17">$D$15+$D$16*A123+($D$17*A123^2)/2</f>
        <v>102.00999999999959</v>
      </c>
      <c r="D123">
        <f t="shared" si="10"/>
        <v>20.09999999999998</v>
      </c>
      <c r="E123">
        <f t="shared" si="12"/>
        <v>2.0000000000010303</v>
      </c>
      <c r="G123">
        <f t="shared" ref="G123:G186" si="18">$H$16+$K$15*A123</f>
        <v>168.333333333333</v>
      </c>
      <c r="H123">
        <f t="shared" si="11"/>
        <v>16.666666666666632</v>
      </c>
      <c r="I123">
        <f t="shared" si="13"/>
        <v>0</v>
      </c>
    </row>
    <row r="124" spans="1:9">
      <c r="A124">
        <f t="shared" si="14"/>
        <v>10.19999999999998</v>
      </c>
      <c r="C124">
        <f t="shared" si="17"/>
        <v>104.03999999999958</v>
      </c>
      <c r="D124">
        <f t="shared" si="10"/>
        <v>20.29999999999994</v>
      </c>
      <c r="E124">
        <f t="shared" si="12"/>
        <v>1.9999999999996092</v>
      </c>
      <c r="G124">
        <f t="shared" si="18"/>
        <v>169.99999999999969</v>
      </c>
      <c r="H124">
        <f t="shared" si="11"/>
        <v>16.666666666666917</v>
      </c>
      <c r="I124">
        <f t="shared" si="13"/>
        <v>2.8421709430404108E-12</v>
      </c>
    </row>
    <row r="125" spans="1:9">
      <c r="A125">
        <f t="shared" si="14"/>
        <v>10.299999999999979</v>
      </c>
      <c r="C125">
        <f t="shared" si="17"/>
        <v>106.08999999999958</v>
      </c>
      <c r="D125">
        <f t="shared" si="10"/>
        <v>20.500000000000043</v>
      </c>
      <c r="E125">
        <f t="shared" si="12"/>
        <v>2.0000000000010303</v>
      </c>
      <c r="G125">
        <f t="shared" si="18"/>
        <v>171.66666666666634</v>
      </c>
      <c r="H125">
        <f t="shared" si="11"/>
        <v>16.666666666666632</v>
      </c>
      <c r="I125">
        <f t="shared" si="13"/>
        <v>-2.8421709430404108E-12</v>
      </c>
    </row>
    <row r="126" spans="1:9">
      <c r="A126">
        <f t="shared" si="14"/>
        <v>10.399999999999979</v>
      </c>
      <c r="C126">
        <f t="shared" si="17"/>
        <v>108.15999999999957</v>
      </c>
      <c r="D126">
        <f t="shared" si="10"/>
        <v>20.700000000000006</v>
      </c>
      <c r="E126">
        <f t="shared" si="12"/>
        <v>1.9999999999996447</v>
      </c>
      <c r="G126">
        <f t="shared" si="18"/>
        <v>173.333333333333</v>
      </c>
      <c r="H126">
        <f t="shared" si="11"/>
        <v>16.666666666666632</v>
      </c>
      <c r="I126">
        <f t="shared" si="13"/>
        <v>0</v>
      </c>
    </row>
    <row r="127" spans="1:9">
      <c r="A127">
        <f t="shared" si="14"/>
        <v>10.499999999999979</v>
      </c>
      <c r="C127">
        <f t="shared" si="17"/>
        <v>110.24999999999955</v>
      </c>
      <c r="D127">
        <f t="shared" si="10"/>
        <v>20.899999999999824</v>
      </c>
      <c r="E127">
        <f t="shared" si="12"/>
        <v>1.9999999999981881</v>
      </c>
      <c r="G127">
        <f t="shared" si="18"/>
        <v>174.99999999999966</v>
      </c>
      <c r="H127">
        <f t="shared" si="11"/>
        <v>16.666666666666632</v>
      </c>
      <c r="I127">
        <f t="shared" si="13"/>
        <v>0</v>
      </c>
    </row>
    <row r="128" spans="1:9">
      <c r="A128">
        <f t="shared" si="14"/>
        <v>10.599999999999978</v>
      </c>
      <c r="C128">
        <f t="shared" si="17"/>
        <v>112.35999999999954</v>
      </c>
      <c r="D128">
        <f t="shared" si="10"/>
        <v>21.100000000000069</v>
      </c>
      <c r="E128">
        <f t="shared" si="12"/>
        <v>2.0000000000024514</v>
      </c>
      <c r="G128">
        <f t="shared" si="18"/>
        <v>176.66666666666632</v>
      </c>
      <c r="H128">
        <f t="shared" si="11"/>
        <v>16.666666666666632</v>
      </c>
      <c r="I128">
        <f t="shared" si="13"/>
        <v>0</v>
      </c>
    </row>
    <row r="129" spans="1:9">
      <c r="A129">
        <f t="shared" si="14"/>
        <v>10.699999999999978</v>
      </c>
      <c r="C129">
        <f t="shared" si="17"/>
        <v>114.48999999999953</v>
      </c>
      <c r="D129">
        <f t="shared" si="10"/>
        <v>21.299999999999887</v>
      </c>
      <c r="E129">
        <f t="shared" si="12"/>
        <v>1.9999999999981881</v>
      </c>
      <c r="G129">
        <f t="shared" si="18"/>
        <v>178.33333333333297</v>
      </c>
      <c r="H129">
        <f t="shared" si="11"/>
        <v>16.666666666666632</v>
      </c>
      <c r="I129">
        <f t="shared" si="13"/>
        <v>0</v>
      </c>
    </row>
    <row r="130" spans="1:9">
      <c r="A130">
        <f t="shared" si="14"/>
        <v>10.799999999999978</v>
      </c>
      <c r="C130">
        <f t="shared" si="17"/>
        <v>116.63999999999952</v>
      </c>
      <c r="D130">
        <f t="shared" si="10"/>
        <v>21.499999999999993</v>
      </c>
      <c r="E130">
        <f t="shared" si="12"/>
        <v>2.0000000000010658</v>
      </c>
      <c r="G130">
        <f t="shared" si="18"/>
        <v>179.99999999999963</v>
      </c>
      <c r="H130">
        <f t="shared" si="11"/>
        <v>16.666666666666632</v>
      </c>
      <c r="I130">
        <f t="shared" si="13"/>
        <v>0</v>
      </c>
    </row>
    <row r="131" spans="1:9">
      <c r="A131">
        <f t="shared" si="14"/>
        <v>10.899999999999977</v>
      </c>
      <c r="C131">
        <f t="shared" si="17"/>
        <v>118.8099999999995</v>
      </c>
      <c r="D131">
        <f t="shared" si="10"/>
        <v>21.699999999999953</v>
      </c>
      <c r="E131">
        <f t="shared" si="12"/>
        <v>1.9999999999996092</v>
      </c>
      <c r="G131">
        <f t="shared" si="18"/>
        <v>181.66666666666629</v>
      </c>
      <c r="H131">
        <f t="shared" si="11"/>
        <v>16.666666666666632</v>
      </c>
      <c r="I131">
        <f t="shared" si="13"/>
        <v>0</v>
      </c>
    </row>
    <row r="132" spans="1:9">
      <c r="A132">
        <f t="shared" si="14"/>
        <v>10.999999999999977</v>
      </c>
      <c r="C132">
        <f t="shared" si="17"/>
        <v>120.99999999999949</v>
      </c>
      <c r="D132">
        <f t="shared" si="10"/>
        <v>21.899999999999913</v>
      </c>
      <c r="E132">
        <f t="shared" si="12"/>
        <v>1.9999999999996092</v>
      </c>
      <c r="G132">
        <f t="shared" si="18"/>
        <v>183.33333333333297</v>
      </c>
      <c r="H132">
        <f t="shared" si="11"/>
        <v>16.666666666666917</v>
      </c>
      <c r="I132">
        <f t="shared" si="13"/>
        <v>2.8421709430404108E-12</v>
      </c>
    </row>
    <row r="133" spans="1:9">
      <c r="A133">
        <f t="shared" si="14"/>
        <v>11.099999999999977</v>
      </c>
      <c r="C133">
        <f t="shared" si="17"/>
        <v>123.20999999999948</v>
      </c>
      <c r="D133">
        <f t="shared" si="10"/>
        <v>22.100000000000016</v>
      </c>
      <c r="E133">
        <f t="shared" si="12"/>
        <v>2.0000000000010303</v>
      </c>
      <c r="G133">
        <f t="shared" si="18"/>
        <v>184.99999999999963</v>
      </c>
      <c r="H133">
        <f t="shared" si="11"/>
        <v>16.666666666666632</v>
      </c>
      <c r="I133">
        <f t="shared" si="13"/>
        <v>-2.8421709430404108E-12</v>
      </c>
    </row>
    <row r="134" spans="1:9">
      <c r="A134">
        <f t="shared" si="14"/>
        <v>11.199999999999976</v>
      </c>
      <c r="C134">
        <f t="shared" si="17"/>
        <v>125.43999999999947</v>
      </c>
      <c r="D134">
        <f t="shared" si="10"/>
        <v>22.299999999999976</v>
      </c>
      <c r="E134">
        <f t="shared" si="12"/>
        <v>1.9999999999996092</v>
      </c>
      <c r="G134">
        <f t="shared" si="18"/>
        <v>186.66666666666629</v>
      </c>
      <c r="H134">
        <f t="shared" si="11"/>
        <v>16.666666666666632</v>
      </c>
      <c r="I134">
        <f t="shared" si="13"/>
        <v>0</v>
      </c>
    </row>
    <row r="135" spans="1:9">
      <c r="A135">
        <f t="shared" si="14"/>
        <v>11.299999999999976</v>
      </c>
      <c r="C135">
        <f t="shared" si="17"/>
        <v>127.68999999999946</v>
      </c>
      <c r="D135">
        <f t="shared" si="10"/>
        <v>22.499999999999936</v>
      </c>
      <c r="E135">
        <f t="shared" si="12"/>
        <v>1.9999999999996092</v>
      </c>
      <c r="G135">
        <f t="shared" si="18"/>
        <v>188.33333333333294</v>
      </c>
      <c r="H135">
        <f t="shared" si="11"/>
        <v>16.666666666666632</v>
      </c>
      <c r="I135">
        <f t="shared" si="13"/>
        <v>0</v>
      </c>
    </row>
    <row r="136" spans="1:9">
      <c r="A136">
        <f t="shared" si="14"/>
        <v>11.399999999999975</v>
      </c>
      <c r="C136">
        <f t="shared" si="17"/>
        <v>129.95999999999944</v>
      </c>
      <c r="D136">
        <f t="shared" si="10"/>
        <v>22.6999999999999</v>
      </c>
      <c r="E136">
        <f t="shared" si="12"/>
        <v>1.9999999999996447</v>
      </c>
      <c r="G136">
        <f t="shared" si="18"/>
        <v>189.9999999999996</v>
      </c>
      <c r="H136">
        <f t="shared" si="11"/>
        <v>16.666666666666632</v>
      </c>
      <c r="I136">
        <f t="shared" si="13"/>
        <v>0</v>
      </c>
    </row>
    <row r="137" spans="1:9">
      <c r="A137">
        <f t="shared" si="14"/>
        <v>11.499999999999975</v>
      </c>
      <c r="C137">
        <f t="shared" si="17"/>
        <v>132.24999999999943</v>
      </c>
      <c r="D137">
        <f t="shared" si="10"/>
        <v>22.900000000000002</v>
      </c>
      <c r="E137">
        <f t="shared" si="12"/>
        <v>2.0000000000010303</v>
      </c>
      <c r="G137">
        <f t="shared" si="18"/>
        <v>191.66666666666626</v>
      </c>
      <c r="H137">
        <f t="shared" si="11"/>
        <v>16.666666666666632</v>
      </c>
      <c r="I137">
        <f t="shared" si="13"/>
        <v>0</v>
      </c>
    </row>
    <row r="138" spans="1:9">
      <c r="A138">
        <f t="shared" si="14"/>
        <v>11.599999999999975</v>
      </c>
      <c r="C138">
        <f t="shared" si="17"/>
        <v>134.55999999999941</v>
      </c>
      <c r="D138">
        <f t="shared" si="10"/>
        <v>23.09999999999982</v>
      </c>
      <c r="E138">
        <f t="shared" si="12"/>
        <v>1.9999999999981881</v>
      </c>
      <c r="G138">
        <f t="shared" si="18"/>
        <v>193.33333333333292</v>
      </c>
      <c r="H138">
        <f t="shared" si="11"/>
        <v>16.666666666666632</v>
      </c>
      <c r="I138">
        <f t="shared" si="13"/>
        <v>0</v>
      </c>
    </row>
    <row r="139" spans="1:9">
      <c r="A139">
        <f t="shared" si="14"/>
        <v>11.699999999999974</v>
      </c>
      <c r="C139">
        <f t="shared" si="17"/>
        <v>136.88999999999939</v>
      </c>
      <c r="D139">
        <f t="shared" si="10"/>
        <v>23.299999999999923</v>
      </c>
      <c r="E139">
        <f t="shared" si="12"/>
        <v>2.0000000000010303</v>
      </c>
      <c r="G139">
        <f t="shared" si="18"/>
        <v>194.99999999999957</v>
      </c>
      <c r="H139">
        <f t="shared" si="11"/>
        <v>16.666666666666632</v>
      </c>
      <c r="I139">
        <f t="shared" si="13"/>
        <v>0</v>
      </c>
    </row>
    <row r="140" spans="1:9">
      <c r="A140">
        <f t="shared" si="14"/>
        <v>11.799999999999974</v>
      </c>
      <c r="C140">
        <f t="shared" si="17"/>
        <v>139.23999999999938</v>
      </c>
      <c r="D140">
        <f t="shared" si="10"/>
        <v>23.500000000000028</v>
      </c>
      <c r="E140">
        <f t="shared" si="12"/>
        <v>2.0000000000010658</v>
      </c>
      <c r="G140">
        <f t="shared" si="18"/>
        <v>196.66666666666626</v>
      </c>
      <c r="H140">
        <f t="shared" si="11"/>
        <v>16.666666666666917</v>
      </c>
      <c r="I140">
        <f t="shared" si="13"/>
        <v>2.8421709430404108E-12</v>
      </c>
    </row>
    <row r="141" spans="1:9">
      <c r="A141">
        <f t="shared" si="14"/>
        <v>11.899999999999974</v>
      </c>
      <c r="C141">
        <f t="shared" si="17"/>
        <v>141.60999999999939</v>
      </c>
      <c r="D141">
        <f t="shared" si="10"/>
        <v>23.700000000000131</v>
      </c>
      <c r="E141">
        <f t="shared" si="12"/>
        <v>2.0000000000010303</v>
      </c>
      <c r="G141">
        <f t="shared" si="18"/>
        <v>198.33333333333292</v>
      </c>
      <c r="H141">
        <f t="shared" si="11"/>
        <v>16.666666666666632</v>
      </c>
      <c r="I141">
        <f t="shared" si="13"/>
        <v>-2.8421709430404108E-12</v>
      </c>
    </row>
    <row r="142" spans="1:9">
      <c r="A142">
        <f t="shared" si="14"/>
        <v>11.999999999999973</v>
      </c>
      <c r="C142">
        <f t="shared" si="17"/>
        <v>143.99999999999937</v>
      </c>
      <c r="D142">
        <f t="shared" si="10"/>
        <v>23.899999999999949</v>
      </c>
      <c r="E142">
        <f t="shared" si="12"/>
        <v>1.9999999999981881</v>
      </c>
      <c r="G142">
        <f t="shared" si="18"/>
        <v>199.99999999999957</v>
      </c>
      <c r="H142">
        <f t="shared" si="11"/>
        <v>16.666666666666632</v>
      </c>
      <c r="I142">
        <f t="shared" si="13"/>
        <v>0</v>
      </c>
    </row>
    <row r="143" spans="1:9">
      <c r="A143">
        <f t="shared" si="14"/>
        <v>12.099999999999973</v>
      </c>
      <c r="C143">
        <f t="shared" si="17"/>
        <v>146.40999999999934</v>
      </c>
      <c r="D143">
        <f t="shared" si="10"/>
        <v>24.099999999999767</v>
      </c>
      <c r="E143">
        <f t="shared" si="12"/>
        <v>1.9999999999981881</v>
      </c>
      <c r="G143">
        <f t="shared" si="18"/>
        <v>201.66666666666623</v>
      </c>
      <c r="H143">
        <f t="shared" si="11"/>
        <v>16.666666666666632</v>
      </c>
      <c r="I143">
        <f t="shared" si="13"/>
        <v>0</v>
      </c>
    </row>
    <row r="144" spans="1:9">
      <c r="A144">
        <f t="shared" si="14"/>
        <v>12.199999999999973</v>
      </c>
      <c r="C144">
        <f t="shared" si="17"/>
        <v>148.83999999999932</v>
      </c>
      <c r="D144">
        <f t="shared" si="10"/>
        <v>24.299999999999869</v>
      </c>
      <c r="E144">
        <f t="shared" si="12"/>
        <v>2.0000000000010303</v>
      </c>
      <c r="G144">
        <f t="shared" si="18"/>
        <v>203.33333333333289</v>
      </c>
      <c r="H144">
        <f t="shared" si="11"/>
        <v>16.666666666666632</v>
      </c>
      <c r="I144">
        <f t="shared" si="13"/>
        <v>0</v>
      </c>
    </row>
    <row r="145" spans="1:9">
      <c r="A145">
        <f t="shared" si="14"/>
        <v>12.299999999999972</v>
      </c>
      <c r="C145">
        <f t="shared" si="17"/>
        <v>151.28999999999931</v>
      </c>
      <c r="D145">
        <f t="shared" si="10"/>
        <v>24.499999999999972</v>
      </c>
      <c r="E145">
        <f t="shared" si="12"/>
        <v>2.0000000000010303</v>
      </c>
      <c r="G145">
        <f t="shared" si="18"/>
        <v>204.99999999999955</v>
      </c>
      <c r="H145">
        <f t="shared" si="11"/>
        <v>16.666666666666632</v>
      </c>
      <c r="I145">
        <f t="shared" si="13"/>
        <v>0</v>
      </c>
    </row>
    <row r="146" spans="1:9">
      <c r="A146">
        <f t="shared" si="14"/>
        <v>12.399999999999972</v>
      </c>
      <c r="C146">
        <f t="shared" si="17"/>
        <v>153.75999999999931</v>
      </c>
      <c r="D146">
        <f t="shared" si="10"/>
        <v>24.700000000000077</v>
      </c>
      <c r="E146">
        <f t="shared" si="12"/>
        <v>2.0000000000010658</v>
      </c>
      <c r="G146">
        <f t="shared" si="18"/>
        <v>206.6666666666662</v>
      </c>
      <c r="H146">
        <f t="shared" si="11"/>
        <v>16.666666666666632</v>
      </c>
      <c r="I146">
        <f t="shared" si="13"/>
        <v>0</v>
      </c>
    </row>
    <row r="147" spans="1:9">
      <c r="A147">
        <f t="shared" si="14"/>
        <v>12.499999999999972</v>
      </c>
      <c r="C147">
        <f t="shared" si="17"/>
        <v>156.24999999999929</v>
      </c>
      <c r="D147">
        <f t="shared" si="10"/>
        <v>24.899999999999896</v>
      </c>
      <c r="E147">
        <f t="shared" si="12"/>
        <v>1.9999999999981881</v>
      </c>
      <c r="G147">
        <f t="shared" si="18"/>
        <v>208.33333333333289</v>
      </c>
      <c r="H147">
        <f t="shared" si="11"/>
        <v>16.666666666666917</v>
      </c>
      <c r="I147">
        <f t="shared" si="13"/>
        <v>2.8421709430404108E-12</v>
      </c>
    </row>
    <row r="148" spans="1:9">
      <c r="A148">
        <f t="shared" si="14"/>
        <v>12.599999999999971</v>
      </c>
      <c r="C148">
        <f t="shared" si="17"/>
        <v>158.75999999999928</v>
      </c>
      <c r="D148">
        <f t="shared" si="10"/>
        <v>25.099999999999998</v>
      </c>
      <c r="E148">
        <f t="shared" si="12"/>
        <v>2.0000000000010303</v>
      </c>
      <c r="G148">
        <f t="shared" si="18"/>
        <v>209.99999999999955</v>
      </c>
      <c r="H148">
        <f t="shared" si="11"/>
        <v>16.666666666666632</v>
      </c>
      <c r="I148">
        <f t="shared" si="13"/>
        <v>-2.8421709430404108E-12</v>
      </c>
    </row>
    <row r="149" spans="1:9">
      <c r="A149">
        <f t="shared" si="14"/>
        <v>12.699999999999971</v>
      </c>
      <c r="C149">
        <f t="shared" si="17"/>
        <v>161.28999999999925</v>
      </c>
      <c r="D149">
        <f t="shared" si="10"/>
        <v>25.299999999999816</v>
      </c>
      <c r="E149">
        <f t="shared" si="12"/>
        <v>1.9999999999981881</v>
      </c>
      <c r="G149">
        <f t="shared" si="18"/>
        <v>211.6666666666662</v>
      </c>
      <c r="H149">
        <f t="shared" si="11"/>
        <v>16.666666666666632</v>
      </c>
      <c r="I149">
        <f t="shared" si="13"/>
        <v>0</v>
      </c>
    </row>
    <row r="150" spans="1:9">
      <c r="A150">
        <f t="shared" si="14"/>
        <v>12.799999999999971</v>
      </c>
      <c r="C150">
        <f t="shared" si="17"/>
        <v>163.83999999999924</v>
      </c>
      <c r="D150">
        <f t="shared" si="10"/>
        <v>25.499999999999922</v>
      </c>
      <c r="E150">
        <f t="shared" si="12"/>
        <v>2.0000000000010658</v>
      </c>
      <c r="G150">
        <f t="shared" si="18"/>
        <v>213.33333333333286</v>
      </c>
      <c r="H150">
        <f t="shared" si="11"/>
        <v>16.666666666666632</v>
      </c>
      <c r="I150">
        <f t="shared" si="13"/>
        <v>0</v>
      </c>
    </row>
    <row r="151" spans="1:9">
      <c r="A151">
        <f t="shared" si="14"/>
        <v>12.89999999999997</v>
      </c>
      <c r="C151">
        <f t="shared" si="17"/>
        <v>166.40999999999923</v>
      </c>
      <c r="D151">
        <f t="shared" si="10"/>
        <v>25.700000000000024</v>
      </c>
      <c r="E151">
        <f t="shared" si="12"/>
        <v>2.0000000000010303</v>
      </c>
      <c r="G151">
        <f t="shared" si="18"/>
        <v>214.99999999999952</v>
      </c>
      <c r="H151">
        <f t="shared" si="11"/>
        <v>16.666666666666632</v>
      </c>
      <c r="I151">
        <f t="shared" si="13"/>
        <v>0</v>
      </c>
    </row>
    <row r="152" spans="1:9">
      <c r="A152">
        <f t="shared" ref="A152:A175" si="19">A151+$B$20</f>
        <v>12.99999999999997</v>
      </c>
      <c r="C152">
        <f t="shared" si="17"/>
        <v>168.9999999999992</v>
      </c>
      <c r="D152">
        <f t="shared" ref="D152:D215" si="20">(C152-C151)/(A152-A151)</f>
        <v>25.899999999999842</v>
      </c>
      <c r="E152">
        <f t="shared" si="12"/>
        <v>1.9999999999981881</v>
      </c>
      <c r="G152">
        <f t="shared" si="18"/>
        <v>216.66666666666617</v>
      </c>
      <c r="H152">
        <f t="shared" ref="H152:H215" si="21">(G152-G151)/(A152-A151)</f>
        <v>16.666666666666632</v>
      </c>
      <c r="I152">
        <f t="shared" si="13"/>
        <v>0</v>
      </c>
    </row>
    <row r="153" spans="1:9">
      <c r="A153">
        <f t="shared" si="19"/>
        <v>13.099999999999969</v>
      </c>
      <c r="C153">
        <f t="shared" si="17"/>
        <v>171.60999999999919</v>
      </c>
      <c r="D153">
        <f t="shared" si="20"/>
        <v>26.099999999999945</v>
      </c>
      <c r="E153">
        <f t="shared" ref="E153:E216" si="22">(D153-D152)/(A153-A152)</f>
        <v>2.0000000000010303</v>
      </c>
      <c r="G153">
        <f t="shared" si="18"/>
        <v>218.33333333333283</v>
      </c>
      <c r="H153">
        <f t="shared" si="21"/>
        <v>16.666666666666632</v>
      </c>
      <c r="I153">
        <f t="shared" si="13"/>
        <v>0</v>
      </c>
    </row>
    <row r="154" spans="1:9">
      <c r="A154">
        <f t="shared" si="19"/>
        <v>13.199999999999969</v>
      </c>
      <c r="C154">
        <f t="shared" si="17"/>
        <v>174.23999999999918</v>
      </c>
      <c r="D154">
        <f t="shared" si="20"/>
        <v>26.300000000000047</v>
      </c>
      <c r="E154">
        <f t="shared" si="22"/>
        <v>2.0000000000010303</v>
      </c>
      <c r="G154">
        <f t="shared" si="18"/>
        <v>219.99999999999949</v>
      </c>
      <c r="H154">
        <f t="shared" si="21"/>
        <v>16.666666666666632</v>
      </c>
      <c r="I154">
        <f t="shared" si="13"/>
        <v>0</v>
      </c>
    </row>
    <row r="155" spans="1:9">
      <c r="A155">
        <f t="shared" si="19"/>
        <v>13.299999999999969</v>
      </c>
      <c r="C155">
        <f t="shared" si="17"/>
        <v>176.88999999999916</v>
      </c>
      <c r="D155">
        <f t="shared" si="20"/>
        <v>26.499999999999865</v>
      </c>
      <c r="E155">
        <f t="shared" si="22"/>
        <v>1.9999999999981881</v>
      </c>
      <c r="G155">
        <f t="shared" si="18"/>
        <v>221.66666666666617</v>
      </c>
      <c r="H155">
        <f t="shared" si="21"/>
        <v>16.666666666666917</v>
      </c>
      <c r="I155">
        <f t="shared" ref="I155:I218" si="23">(H155-H154)/(A155-A154)</f>
        <v>2.8421709430404108E-12</v>
      </c>
    </row>
    <row r="156" spans="1:9">
      <c r="A156">
        <f t="shared" si="19"/>
        <v>13.399999999999968</v>
      </c>
      <c r="C156">
        <f t="shared" si="17"/>
        <v>179.55999999999915</v>
      </c>
      <c r="D156">
        <f t="shared" si="20"/>
        <v>26.699999999999971</v>
      </c>
      <c r="E156">
        <f t="shared" si="22"/>
        <v>2.0000000000010658</v>
      </c>
      <c r="G156">
        <f t="shared" si="18"/>
        <v>223.33333333333283</v>
      </c>
      <c r="H156">
        <f t="shared" si="21"/>
        <v>16.666666666666632</v>
      </c>
      <c r="I156">
        <f t="shared" si="23"/>
        <v>-2.8421709430404108E-12</v>
      </c>
    </row>
    <row r="157" spans="1:9">
      <c r="A157">
        <f t="shared" si="19"/>
        <v>13.499999999999968</v>
      </c>
      <c r="C157">
        <f t="shared" si="17"/>
        <v>182.24999999999915</v>
      </c>
      <c r="D157">
        <f t="shared" si="20"/>
        <v>26.900000000000073</v>
      </c>
      <c r="E157">
        <f t="shared" si="22"/>
        <v>2.0000000000010303</v>
      </c>
      <c r="G157">
        <f t="shared" si="18"/>
        <v>224.99999999999949</v>
      </c>
      <c r="H157">
        <f t="shared" si="21"/>
        <v>16.666666666666632</v>
      </c>
      <c r="I157">
        <f t="shared" si="23"/>
        <v>0</v>
      </c>
    </row>
    <row r="158" spans="1:9">
      <c r="A158">
        <f t="shared" si="19"/>
        <v>13.599999999999968</v>
      </c>
      <c r="C158">
        <f t="shared" si="17"/>
        <v>184.95999999999913</v>
      </c>
      <c r="D158">
        <f t="shared" si="20"/>
        <v>27.099999999999891</v>
      </c>
      <c r="E158">
        <f t="shared" si="22"/>
        <v>1.9999999999981881</v>
      </c>
      <c r="G158">
        <f t="shared" si="18"/>
        <v>226.66666666666615</v>
      </c>
      <c r="H158">
        <f t="shared" si="21"/>
        <v>16.666666666666632</v>
      </c>
      <c r="I158">
        <f t="shared" si="23"/>
        <v>0</v>
      </c>
    </row>
    <row r="159" spans="1:9">
      <c r="A159">
        <f t="shared" si="19"/>
        <v>13.699999999999967</v>
      </c>
      <c r="C159">
        <f t="shared" si="17"/>
        <v>187.68999999999912</v>
      </c>
      <c r="D159">
        <f t="shared" si="20"/>
        <v>27.299999999999994</v>
      </c>
      <c r="E159">
        <f t="shared" si="22"/>
        <v>2.0000000000010303</v>
      </c>
      <c r="G159">
        <f t="shared" si="18"/>
        <v>228.3333333333328</v>
      </c>
      <c r="H159">
        <f t="shared" si="21"/>
        <v>16.666666666666632</v>
      </c>
      <c r="I159">
        <f t="shared" si="23"/>
        <v>0</v>
      </c>
    </row>
    <row r="160" spans="1:9">
      <c r="A160">
        <f t="shared" si="19"/>
        <v>13.799999999999967</v>
      </c>
      <c r="C160">
        <f t="shared" si="17"/>
        <v>190.43999999999909</v>
      </c>
      <c r="D160">
        <f t="shared" si="20"/>
        <v>27.499999999999815</v>
      </c>
      <c r="E160">
        <f t="shared" si="22"/>
        <v>1.9999999999982236</v>
      </c>
      <c r="G160">
        <f t="shared" si="18"/>
        <v>229.99999999999946</v>
      </c>
      <c r="H160">
        <f t="shared" si="21"/>
        <v>16.666666666666632</v>
      </c>
      <c r="I160">
        <f t="shared" si="23"/>
        <v>0</v>
      </c>
    </row>
    <row r="161" spans="1:9">
      <c r="A161">
        <f t="shared" si="19"/>
        <v>13.899999999999967</v>
      </c>
      <c r="C161">
        <f t="shared" si="17"/>
        <v>193.20999999999907</v>
      </c>
      <c r="D161">
        <f t="shared" si="20"/>
        <v>27.699999999999918</v>
      </c>
      <c r="E161">
        <f t="shared" si="22"/>
        <v>2.0000000000010303</v>
      </c>
      <c r="G161">
        <f t="shared" si="18"/>
        <v>231.66666666666612</v>
      </c>
      <c r="H161">
        <f t="shared" si="21"/>
        <v>16.666666666666632</v>
      </c>
      <c r="I161">
        <f t="shared" si="23"/>
        <v>0</v>
      </c>
    </row>
    <row r="162" spans="1:9">
      <c r="A162">
        <f t="shared" si="19"/>
        <v>13.999999999999966</v>
      </c>
      <c r="C162">
        <f t="shared" si="17"/>
        <v>195.99999999999906</v>
      </c>
      <c r="D162">
        <f t="shared" si="20"/>
        <v>27.90000000000002</v>
      </c>
      <c r="E162">
        <f t="shared" si="22"/>
        <v>2.0000000000010303</v>
      </c>
      <c r="G162">
        <f t="shared" si="18"/>
        <v>233.33333333333277</v>
      </c>
      <c r="H162">
        <f t="shared" si="21"/>
        <v>16.666666666666632</v>
      </c>
      <c r="I162">
        <f t="shared" si="23"/>
        <v>0</v>
      </c>
    </row>
    <row r="163" spans="1:9">
      <c r="A163">
        <f t="shared" si="19"/>
        <v>14.099999999999966</v>
      </c>
      <c r="C163">
        <f t="shared" si="17"/>
        <v>198.80999999999904</v>
      </c>
      <c r="D163">
        <f t="shared" si="20"/>
        <v>28.099999999999838</v>
      </c>
      <c r="E163">
        <f t="shared" si="22"/>
        <v>1.9999999999981881</v>
      </c>
      <c r="G163">
        <f t="shared" si="18"/>
        <v>234.99999999999946</v>
      </c>
      <c r="H163">
        <f t="shared" si="21"/>
        <v>16.666666666666917</v>
      </c>
      <c r="I163">
        <f t="shared" si="23"/>
        <v>2.8421709430404108E-12</v>
      </c>
    </row>
    <row r="164" spans="1:9">
      <c r="A164">
        <f t="shared" si="19"/>
        <v>14.199999999999966</v>
      </c>
      <c r="C164">
        <f t="shared" si="17"/>
        <v>201.63999999999902</v>
      </c>
      <c r="D164">
        <f t="shared" si="20"/>
        <v>28.29999999999994</v>
      </c>
      <c r="E164">
        <f t="shared" si="22"/>
        <v>2.0000000000010303</v>
      </c>
      <c r="G164">
        <f t="shared" si="18"/>
        <v>236.66666666666612</v>
      </c>
      <c r="H164">
        <f t="shared" si="21"/>
        <v>16.666666666666632</v>
      </c>
      <c r="I164">
        <f t="shared" si="23"/>
        <v>-2.8421709430404108E-12</v>
      </c>
    </row>
    <row r="165" spans="1:9">
      <c r="A165">
        <f t="shared" si="19"/>
        <v>14.299999999999965</v>
      </c>
      <c r="C165">
        <f t="shared" si="17"/>
        <v>204.48999999999901</v>
      </c>
      <c r="D165">
        <f t="shared" si="20"/>
        <v>28.500000000000043</v>
      </c>
      <c r="E165">
        <f t="shared" si="22"/>
        <v>2.0000000000010303</v>
      </c>
      <c r="G165">
        <f t="shared" si="18"/>
        <v>238.33333333333277</v>
      </c>
      <c r="H165">
        <f t="shared" si="21"/>
        <v>16.666666666666632</v>
      </c>
      <c r="I165">
        <f t="shared" si="23"/>
        <v>0</v>
      </c>
    </row>
    <row r="166" spans="1:9">
      <c r="A166">
        <f t="shared" si="19"/>
        <v>14.399999999999965</v>
      </c>
      <c r="C166">
        <f t="shared" si="17"/>
        <v>207.35999999999899</v>
      </c>
      <c r="D166">
        <f t="shared" si="20"/>
        <v>28.699999999999864</v>
      </c>
      <c r="E166">
        <f t="shared" si="22"/>
        <v>1.9999999999982236</v>
      </c>
      <c r="G166">
        <f t="shared" si="18"/>
        <v>239.99999999999943</v>
      </c>
      <c r="H166">
        <f t="shared" si="21"/>
        <v>16.666666666666632</v>
      </c>
      <c r="I166">
        <f t="shared" si="23"/>
        <v>0</v>
      </c>
    </row>
    <row r="167" spans="1:9">
      <c r="A167">
        <f t="shared" si="19"/>
        <v>14.499999999999964</v>
      </c>
      <c r="C167">
        <f t="shared" si="17"/>
        <v>210.24999999999898</v>
      </c>
      <c r="D167">
        <f t="shared" si="20"/>
        <v>28.899999999999967</v>
      </c>
      <c r="E167">
        <f t="shared" si="22"/>
        <v>2.0000000000010303</v>
      </c>
      <c r="G167">
        <f t="shared" si="18"/>
        <v>241.66666666666609</v>
      </c>
      <c r="H167">
        <f t="shared" si="21"/>
        <v>16.666666666666632</v>
      </c>
      <c r="I167">
        <f t="shared" si="23"/>
        <v>0</v>
      </c>
    </row>
    <row r="168" spans="1:9">
      <c r="A168">
        <f t="shared" si="19"/>
        <v>14.599999999999964</v>
      </c>
      <c r="C168">
        <f t="shared" si="17"/>
        <v>213.15999999999894</v>
      </c>
      <c r="D168">
        <f t="shared" si="20"/>
        <v>29.099999999999785</v>
      </c>
      <c r="E168">
        <f t="shared" si="22"/>
        <v>1.9999999999981881</v>
      </c>
      <c r="G168">
        <f t="shared" si="18"/>
        <v>243.33333333333275</v>
      </c>
      <c r="H168">
        <f t="shared" si="21"/>
        <v>16.666666666666632</v>
      </c>
      <c r="I168">
        <f t="shared" si="23"/>
        <v>0</v>
      </c>
    </row>
    <row r="169" spans="1:9">
      <c r="A169">
        <f t="shared" si="19"/>
        <v>14.699999999999964</v>
      </c>
      <c r="C169">
        <f t="shared" si="17"/>
        <v>216.08999999999892</v>
      </c>
      <c r="D169">
        <f t="shared" si="20"/>
        <v>29.299999999999887</v>
      </c>
      <c r="E169">
        <f t="shared" si="22"/>
        <v>2.0000000000010303</v>
      </c>
      <c r="G169">
        <f t="shared" si="18"/>
        <v>244.9999999999994</v>
      </c>
      <c r="H169">
        <f t="shared" si="21"/>
        <v>16.666666666666632</v>
      </c>
      <c r="I169">
        <f t="shared" si="23"/>
        <v>0</v>
      </c>
    </row>
    <row r="170" spans="1:9">
      <c r="A170">
        <f t="shared" si="19"/>
        <v>14.799999999999963</v>
      </c>
      <c r="C170">
        <f t="shared" si="17"/>
        <v>219.03999999999891</v>
      </c>
      <c r="D170">
        <f t="shared" si="20"/>
        <v>29.499999999999993</v>
      </c>
      <c r="E170">
        <f t="shared" si="22"/>
        <v>2.0000000000010658</v>
      </c>
      <c r="G170">
        <f t="shared" si="18"/>
        <v>246.66666666666606</v>
      </c>
      <c r="H170">
        <f t="shared" si="21"/>
        <v>16.666666666666632</v>
      </c>
      <c r="I170">
        <f t="shared" si="23"/>
        <v>0</v>
      </c>
    </row>
    <row r="171" spans="1:9">
      <c r="A171">
        <f t="shared" si="19"/>
        <v>14.899999999999963</v>
      </c>
      <c r="C171">
        <f t="shared" si="17"/>
        <v>222.00999999999891</v>
      </c>
      <c r="D171">
        <f t="shared" si="20"/>
        <v>29.700000000000095</v>
      </c>
      <c r="E171">
        <f t="shared" si="22"/>
        <v>2.0000000000010303</v>
      </c>
      <c r="G171">
        <f t="shared" si="18"/>
        <v>248.33333333333275</v>
      </c>
      <c r="H171">
        <f t="shared" si="21"/>
        <v>16.666666666666917</v>
      </c>
      <c r="I171">
        <f t="shared" si="23"/>
        <v>2.8421709430404108E-12</v>
      </c>
    </row>
    <row r="172" spans="1:9">
      <c r="A172">
        <f t="shared" si="19"/>
        <v>14.999999999999963</v>
      </c>
      <c r="C172">
        <f t="shared" si="17"/>
        <v>224.99999999999889</v>
      </c>
      <c r="D172">
        <f t="shared" si="20"/>
        <v>29.899999999999913</v>
      </c>
      <c r="E172">
        <f t="shared" si="22"/>
        <v>1.9999999999981881</v>
      </c>
      <c r="G172">
        <f t="shared" si="18"/>
        <v>249.9999999999994</v>
      </c>
      <c r="H172">
        <f t="shared" si="21"/>
        <v>16.666666666666632</v>
      </c>
      <c r="I172">
        <f t="shared" si="23"/>
        <v>-2.8421709430404108E-12</v>
      </c>
    </row>
    <row r="173" spans="1:9">
      <c r="A173">
        <f t="shared" si="19"/>
        <v>15.099999999999962</v>
      </c>
      <c r="C173">
        <f t="shared" si="17"/>
        <v>228.00999999999885</v>
      </c>
      <c r="D173">
        <f t="shared" si="20"/>
        <v>30.099999999999731</v>
      </c>
      <c r="E173">
        <f t="shared" si="22"/>
        <v>1.9999999999981881</v>
      </c>
      <c r="G173">
        <f t="shared" si="18"/>
        <v>251.66666666666606</v>
      </c>
      <c r="H173">
        <f t="shared" si="21"/>
        <v>16.666666666666632</v>
      </c>
      <c r="I173">
        <f t="shared" si="23"/>
        <v>0</v>
      </c>
    </row>
    <row r="174" spans="1:9">
      <c r="A174">
        <f t="shared" si="19"/>
        <v>15.199999999999962</v>
      </c>
      <c r="C174">
        <f t="shared" si="17"/>
        <v>231.03999999999886</v>
      </c>
      <c r="D174">
        <f t="shared" si="20"/>
        <v>30.300000000000118</v>
      </c>
      <c r="E174">
        <f t="shared" si="22"/>
        <v>2.0000000000038725</v>
      </c>
      <c r="G174">
        <f t="shared" si="18"/>
        <v>253.33333333333272</v>
      </c>
      <c r="H174">
        <f t="shared" si="21"/>
        <v>16.666666666666632</v>
      </c>
      <c r="I174">
        <f t="shared" si="23"/>
        <v>0</v>
      </c>
    </row>
    <row r="175" spans="1:9">
      <c r="A175">
        <f t="shared" si="19"/>
        <v>15.299999999999962</v>
      </c>
      <c r="C175">
        <f t="shared" si="17"/>
        <v>234.08999999999884</v>
      </c>
      <c r="D175">
        <f t="shared" si="20"/>
        <v>30.499999999999936</v>
      </c>
      <c r="E175">
        <f t="shared" si="22"/>
        <v>1.9999999999981881</v>
      </c>
      <c r="G175">
        <f t="shared" si="18"/>
        <v>254.99999999999937</v>
      </c>
      <c r="H175">
        <f t="shared" si="21"/>
        <v>16.666666666666632</v>
      </c>
      <c r="I175">
        <f t="shared" si="23"/>
        <v>0</v>
      </c>
    </row>
    <row r="176" spans="1:9">
      <c r="A176">
        <f t="shared" ref="A176:A205" si="24">A175+$B$20</f>
        <v>15.399999999999961</v>
      </c>
      <c r="C176">
        <f t="shared" si="17"/>
        <v>237.1599999999988</v>
      </c>
      <c r="D176">
        <f t="shared" si="20"/>
        <v>30.699999999999758</v>
      </c>
      <c r="E176">
        <f t="shared" si="22"/>
        <v>1.9999999999982236</v>
      </c>
      <c r="G176">
        <f t="shared" si="18"/>
        <v>256.66666666666606</v>
      </c>
      <c r="H176">
        <f t="shared" si="21"/>
        <v>16.666666666666917</v>
      </c>
      <c r="I176">
        <f t="shared" si="23"/>
        <v>2.8421709430404108E-12</v>
      </c>
    </row>
    <row r="177" spans="1:9">
      <c r="A177">
        <f t="shared" si="24"/>
        <v>15.499999999999961</v>
      </c>
      <c r="C177">
        <f t="shared" si="17"/>
        <v>240.24999999999878</v>
      </c>
      <c r="D177">
        <f t="shared" si="20"/>
        <v>30.89999999999986</v>
      </c>
      <c r="E177">
        <f t="shared" si="22"/>
        <v>2.0000000000010303</v>
      </c>
      <c r="G177">
        <f t="shared" si="18"/>
        <v>258.33333333333269</v>
      </c>
      <c r="H177">
        <f t="shared" si="21"/>
        <v>16.666666666666348</v>
      </c>
      <c r="I177">
        <f t="shared" si="23"/>
        <v>-5.6843418860808217E-12</v>
      </c>
    </row>
    <row r="178" spans="1:9">
      <c r="A178">
        <f t="shared" si="24"/>
        <v>15.599999999999961</v>
      </c>
      <c r="C178">
        <f t="shared" si="17"/>
        <v>243.35999999999876</v>
      </c>
      <c r="D178">
        <f t="shared" si="20"/>
        <v>31.099999999999962</v>
      </c>
      <c r="E178">
        <f t="shared" si="22"/>
        <v>2.0000000000010303</v>
      </c>
      <c r="G178">
        <f t="shared" si="18"/>
        <v>259.99999999999937</v>
      </c>
      <c r="H178">
        <f t="shared" si="21"/>
        <v>16.666666666666917</v>
      </c>
      <c r="I178">
        <f t="shared" si="23"/>
        <v>5.6843418860808217E-12</v>
      </c>
    </row>
    <row r="179" spans="1:9">
      <c r="A179">
        <f t="shared" si="24"/>
        <v>15.69999999999996</v>
      </c>
      <c r="C179">
        <f t="shared" si="17"/>
        <v>246.48999999999876</v>
      </c>
      <c r="D179">
        <f t="shared" si="20"/>
        <v>31.300000000000065</v>
      </c>
      <c r="E179">
        <f t="shared" si="22"/>
        <v>2.0000000000010303</v>
      </c>
      <c r="G179">
        <f t="shared" si="18"/>
        <v>261.666666666666</v>
      </c>
      <c r="H179">
        <f t="shared" si="21"/>
        <v>16.666666666666348</v>
      </c>
      <c r="I179">
        <f t="shared" si="23"/>
        <v>-5.6843418860808217E-12</v>
      </c>
    </row>
    <row r="180" spans="1:9">
      <c r="A180">
        <f t="shared" si="24"/>
        <v>15.79999999999996</v>
      </c>
      <c r="C180">
        <f t="shared" si="17"/>
        <v>249.63999999999874</v>
      </c>
      <c r="D180">
        <f t="shared" si="20"/>
        <v>31.499999999999886</v>
      </c>
      <c r="E180">
        <f t="shared" si="22"/>
        <v>1.9999999999982236</v>
      </c>
      <c r="G180">
        <f t="shared" si="18"/>
        <v>263.33333333333269</v>
      </c>
      <c r="H180">
        <f t="shared" si="21"/>
        <v>16.666666666666917</v>
      </c>
      <c r="I180">
        <f t="shared" si="23"/>
        <v>5.6843418860808217E-12</v>
      </c>
    </row>
    <row r="181" spans="1:9">
      <c r="A181">
        <f t="shared" si="24"/>
        <v>15.899999999999959</v>
      </c>
      <c r="C181">
        <f t="shared" si="17"/>
        <v>252.80999999999872</v>
      </c>
      <c r="D181">
        <f t="shared" si="20"/>
        <v>31.699999999999989</v>
      </c>
      <c r="E181">
        <f t="shared" si="22"/>
        <v>2.0000000000010303</v>
      </c>
      <c r="G181">
        <f t="shared" si="18"/>
        <v>264.99999999999932</v>
      </c>
      <c r="H181">
        <f t="shared" si="21"/>
        <v>16.666666666666348</v>
      </c>
      <c r="I181">
        <f t="shared" si="23"/>
        <v>-5.6843418860808217E-12</v>
      </c>
    </row>
    <row r="182" spans="1:9">
      <c r="A182">
        <f t="shared" si="24"/>
        <v>15.999999999999959</v>
      </c>
      <c r="C182">
        <f t="shared" si="17"/>
        <v>255.99999999999869</v>
      </c>
      <c r="D182">
        <f t="shared" si="20"/>
        <v>31.899999999999807</v>
      </c>
      <c r="E182">
        <f t="shared" si="22"/>
        <v>1.9999999999981881</v>
      </c>
      <c r="G182">
        <f t="shared" si="18"/>
        <v>266.666666666666</v>
      </c>
      <c r="H182">
        <f t="shared" si="21"/>
        <v>16.666666666666917</v>
      </c>
      <c r="I182">
        <f t="shared" si="23"/>
        <v>5.6843418860808217E-12</v>
      </c>
    </row>
    <row r="183" spans="1:9">
      <c r="A183">
        <f t="shared" si="24"/>
        <v>16.099999999999959</v>
      </c>
      <c r="C183">
        <f t="shared" si="17"/>
        <v>259.20999999999867</v>
      </c>
      <c r="D183">
        <f t="shared" si="20"/>
        <v>32.099999999999909</v>
      </c>
      <c r="E183">
        <f t="shared" si="22"/>
        <v>2.0000000000010303</v>
      </c>
      <c r="G183">
        <f t="shared" si="18"/>
        <v>268.33333333333269</v>
      </c>
      <c r="H183">
        <f t="shared" si="21"/>
        <v>16.666666666666917</v>
      </c>
      <c r="I183">
        <f t="shared" si="23"/>
        <v>0</v>
      </c>
    </row>
    <row r="184" spans="1:9">
      <c r="A184">
        <f t="shared" si="24"/>
        <v>16.19999999999996</v>
      </c>
      <c r="C184">
        <f t="shared" si="17"/>
        <v>262.43999999999869</v>
      </c>
      <c r="D184">
        <f t="shared" si="20"/>
        <v>32.29999999999972</v>
      </c>
      <c r="E184">
        <f t="shared" si="22"/>
        <v>1.9999999999980815</v>
      </c>
      <c r="G184">
        <f t="shared" si="18"/>
        <v>269.99999999999937</v>
      </c>
      <c r="H184">
        <f t="shared" si="21"/>
        <v>16.666666666666618</v>
      </c>
      <c r="I184">
        <f t="shared" si="23"/>
        <v>-2.9842794901923784E-12</v>
      </c>
    </row>
    <row r="185" spans="1:9">
      <c r="A185">
        <f t="shared" si="24"/>
        <v>16.299999999999962</v>
      </c>
      <c r="C185">
        <f t="shared" si="17"/>
        <v>265.68999999999875</v>
      </c>
      <c r="D185">
        <f t="shared" si="20"/>
        <v>32.500000000000107</v>
      </c>
      <c r="E185">
        <f t="shared" si="22"/>
        <v>2.0000000000038369</v>
      </c>
      <c r="G185">
        <f t="shared" si="18"/>
        <v>271.66666666666606</v>
      </c>
      <c r="H185">
        <f t="shared" si="21"/>
        <v>16.666666666666618</v>
      </c>
      <c r="I185">
        <f t="shared" si="23"/>
        <v>0</v>
      </c>
    </row>
    <row r="186" spans="1:9">
      <c r="A186">
        <f t="shared" si="24"/>
        <v>16.399999999999963</v>
      </c>
      <c r="C186">
        <f t="shared" si="17"/>
        <v>268.95999999999879</v>
      </c>
      <c r="D186">
        <f t="shared" si="20"/>
        <v>32.699999999999925</v>
      </c>
      <c r="E186">
        <f t="shared" si="22"/>
        <v>1.9999999999981526</v>
      </c>
      <c r="G186">
        <f t="shared" si="18"/>
        <v>273.33333333333275</v>
      </c>
      <c r="H186">
        <f t="shared" si="21"/>
        <v>16.666666666666618</v>
      </c>
      <c r="I186">
        <f t="shared" si="23"/>
        <v>0</v>
      </c>
    </row>
    <row r="187" spans="1:9">
      <c r="A187">
        <f t="shared" si="24"/>
        <v>16.499999999999964</v>
      </c>
      <c r="C187">
        <f t="shared" ref="C187:C250" si="25">$D$15+$D$16*A187+($D$17*A187^2)/2</f>
        <v>272.24999999999881</v>
      </c>
      <c r="D187">
        <f t="shared" si="20"/>
        <v>32.899999999999736</v>
      </c>
      <c r="E187">
        <f t="shared" si="22"/>
        <v>1.9999999999980815</v>
      </c>
      <c r="G187">
        <f t="shared" ref="G187:G250" si="26">$H$16+$K$15*A187</f>
        <v>274.99999999999943</v>
      </c>
      <c r="H187">
        <f t="shared" si="21"/>
        <v>16.666666666666618</v>
      </c>
      <c r="I187">
        <f t="shared" si="23"/>
        <v>0</v>
      </c>
    </row>
    <row r="188" spans="1:9">
      <c r="A188">
        <f t="shared" si="24"/>
        <v>16.599999999999966</v>
      </c>
      <c r="C188">
        <f t="shared" si="25"/>
        <v>275.55999999999887</v>
      </c>
      <c r="D188">
        <f t="shared" si="20"/>
        <v>33.100000000000122</v>
      </c>
      <c r="E188">
        <f t="shared" si="22"/>
        <v>2.0000000000038369</v>
      </c>
      <c r="G188">
        <f t="shared" si="26"/>
        <v>276.66666666666612</v>
      </c>
      <c r="H188">
        <f t="shared" si="21"/>
        <v>16.666666666666618</v>
      </c>
      <c r="I188">
        <f t="shared" si="23"/>
        <v>0</v>
      </c>
    </row>
    <row r="189" spans="1:9">
      <c r="A189">
        <f t="shared" si="24"/>
        <v>16.699999999999967</v>
      </c>
      <c r="C189">
        <f t="shared" si="25"/>
        <v>278.88999999999891</v>
      </c>
      <c r="D189">
        <f t="shared" si="20"/>
        <v>33.299999999999933</v>
      </c>
      <c r="E189">
        <f t="shared" si="22"/>
        <v>1.9999999999980815</v>
      </c>
      <c r="G189">
        <f t="shared" si="26"/>
        <v>278.3333333333328</v>
      </c>
      <c r="H189">
        <f t="shared" si="21"/>
        <v>16.666666666666618</v>
      </c>
      <c r="I189">
        <f t="shared" si="23"/>
        <v>0</v>
      </c>
    </row>
    <row r="190" spans="1:9">
      <c r="A190">
        <f t="shared" si="24"/>
        <v>16.799999999999969</v>
      </c>
      <c r="C190">
        <f t="shared" si="25"/>
        <v>282.23999999999893</v>
      </c>
      <c r="D190">
        <f t="shared" si="20"/>
        <v>33.499999999999751</v>
      </c>
      <c r="E190">
        <f t="shared" si="22"/>
        <v>1.9999999999981526</v>
      </c>
      <c r="G190">
        <f t="shared" si="26"/>
        <v>279.99999999999949</v>
      </c>
      <c r="H190">
        <f t="shared" si="21"/>
        <v>16.666666666666618</v>
      </c>
      <c r="I190">
        <f t="shared" si="23"/>
        <v>0</v>
      </c>
    </row>
    <row r="191" spans="1:9">
      <c r="A191">
        <f t="shared" si="24"/>
        <v>16.89999999999997</v>
      </c>
      <c r="C191">
        <f t="shared" si="25"/>
        <v>285.60999999999899</v>
      </c>
      <c r="D191">
        <f t="shared" si="20"/>
        <v>33.700000000000138</v>
      </c>
      <c r="E191">
        <f t="shared" si="22"/>
        <v>2.0000000000038369</v>
      </c>
      <c r="G191">
        <f t="shared" si="26"/>
        <v>281.66666666666617</v>
      </c>
      <c r="H191">
        <f t="shared" si="21"/>
        <v>16.666666666666618</v>
      </c>
      <c r="I191">
        <f t="shared" si="23"/>
        <v>0</v>
      </c>
    </row>
    <row r="192" spans="1:9">
      <c r="A192">
        <f t="shared" si="24"/>
        <v>16.999999999999972</v>
      </c>
      <c r="C192">
        <f t="shared" si="25"/>
        <v>288.99999999999903</v>
      </c>
      <c r="D192">
        <f t="shared" si="20"/>
        <v>33.899999999999949</v>
      </c>
      <c r="E192">
        <f t="shared" si="22"/>
        <v>1.9999999999980815</v>
      </c>
      <c r="G192">
        <f t="shared" si="26"/>
        <v>283.33333333333286</v>
      </c>
      <c r="H192">
        <f t="shared" si="21"/>
        <v>16.666666666666618</v>
      </c>
      <c r="I192">
        <f t="shared" si="23"/>
        <v>0</v>
      </c>
    </row>
    <row r="193" spans="1:9">
      <c r="A193">
        <f t="shared" si="24"/>
        <v>17.099999999999973</v>
      </c>
      <c r="C193">
        <f t="shared" si="25"/>
        <v>292.40999999999906</v>
      </c>
      <c r="D193">
        <f t="shared" si="20"/>
        <v>34.099999999999767</v>
      </c>
      <c r="E193">
        <f t="shared" si="22"/>
        <v>1.9999999999981526</v>
      </c>
      <c r="G193">
        <f t="shared" si="26"/>
        <v>284.99999999999955</v>
      </c>
      <c r="H193">
        <f t="shared" si="21"/>
        <v>16.666666666666618</v>
      </c>
      <c r="I193">
        <f t="shared" si="23"/>
        <v>0</v>
      </c>
    </row>
    <row r="194" spans="1:9">
      <c r="A194">
        <f t="shared" si="24"/>
        <v>17.199999999999974</v>
      </c>
      <c r="C194">
        <f t="shared" si="25"/>
        <v>295.83999999999912</v>
      </c>
      <c r="D194">
        <f t="shared" si="20"/>
        <v>34.300000000000146</v>
      </c>
      <c r="E194">
        <f t="shared" si="22"/>
        <v>2.0000000000037659</v>
      </c>
      <c r="G194">
        <f t="shared" si="26"/>
        <v>286.66666666666629</v>
      </c>
      <c r="H194">
        <f t="shared" si="21"/>
        <v>16.666666666667187</v>
      </c>
      <c r="I194">
        <f t="shared" si="23"/>
        <v>5.6843418860807207E-12</v>
      </c>
    </row>
    <row r="195" spans="1:9">
      <c r="A195">
        <f t="shared" si="24"/>
        <v>17.299999999999976</v>
      </c>
      <c r="C195">
        <f t="shared" si="25"/>
        <v>299.28999999999917</v>
      </c>
      <c r="D195">
        <f t="shared" si="20"/>
        <v>34.499999999999964</v>
      </c>
      <c r="E195">
        <f t="shared" si="22"/>
        <v>1.9999999999981526</v>
      </c>
      <c r="G195">
        <f t="shared" si="26"/>
        <v>288.33333333333297</v>
      </c>
      <c r="H195">
        <f t="shared" si="21"/>
        <v>16.666666666666618</v>
      </c>
      <c r="I195">
        <f t="shared" si="23"/>
        <v>-5.6843418860807207E-12</v>
      </c>
    </row>
    <row r="196" spans="1:9">
      <c r="A196">
        <f t="shared" si="24"/>
        <v>17.399999999999977</v>
      </c>
      <c r="C196">
        <f t="shared" si="25"/>
        <v>302.7599999999992</v>
      </c>
      <c r="D196">
        <f t="shared" si="20"/>
        <v>34.699999999999783</v>
      </c>
      <c r="E196">
        <f t="shared" si="22"/>
        <v>1.9999999999981526</v>
      </c>
      <c r="G196">
        <f t="shared" si="26"/>
        <v>289.99999999999966</v>
      </c>
      <c r="H196">
        <f t="shared" si="21"/>
        <v>16.666666666666618</v>
      </c>
      <c r="I196">
        <f t="shared" si="23"/>
        <v>0</v>
      </c>
    </row>
    <row r="197" spans="1:9">
      <c r="A197">
        <f t="shared" si="24"/>
        <v>17.499999999999979</v>
      </c>
      <c r="C197">
        <f t="shared" si="25"/>
        <v>306.24999999999926</v>
      </c>
      <c r="D197">
        <f t="shared" si="20"/>
        <v>34.900000000000162</v>
      </c>
      <c r="E197">
        <f t="shared" si="22"/>
        <v>2.0000000000037659</v>
      </c>
      <c r="G197">
        <f t="shared" si="26"/>
        <v>291.66666666666634</v>
      </c>
      <c r="H197">
        <f t="shared" si="21"/>
        <v>16.666666666666618</v>
      </c>
      <c r="I197">
        <f t="shared" si="23"/>
        <v>0</v>
      </c>
    </row>
    <row r="198" spans="1:9">
      <c r="A198">
        <f t="shared" si="24"/>
        <v>17.59999999999998</v>
      </c>
      <c r="C198">
        <f t="shared" si="25"/>
        <v>309.75999999999931</v>
      </c>
      <c r="D198">
        <f t="shared" si="20"/>
        <v>35.09999999999998</v>
      </c>
      <c r="E198">
        <f t="shared" si="22"/>
        <v>1.9999999999981526</v>
      </c>
      <c r="G198">
        <f t="shared" si="26"/>
        <v>293.33333333333303</v>
      </c>
      <c r="H198">
        <f t="shared" si="21"/>
        <v>16.666666666666618</v>
      </c>
      <c r="I198">
        <f t="shared" si="23"/>
        <v>0</v>
      </c>
    </row>
    <row r="199" spans="1:9">
      <c r="A199">
        <f t="shared" si="24"/>
        <v>17.699999999999982</v>
      </c>
      <c r="C199">
        <f t="shared" si="25"/>
        <v>313.28999999999934</v>
      </c>
      <c r="D199">
        <f t="shared" si="20"/>
        <v>35.299999999999791</v>
      </c>
      <c r="E199">
        <f t="shared" si="22"/>
        <v>1.9999999999980815</v>
      </c>
      <c r="G199">
        <f t="shared" si="26"/>
        <v>294.99999999999972</v>
      </c>
      <c r="H199">
        <f t="shared" si="21"/>
        <v>16.666666666666618</v>
      </c>
      <c r="I199">
        <f t="shared" si="23"/>
        <v>0</v>
      </c>
    </row>
    <row r="200" spans="1:9">
      <c r="A200">
        <f t="shared" si="24"/>
        <v>17.799999999999983</v>
      </c>
      <c r="C200">
        <f t="shared" si="25"/>
        <v>316.83999999999941</v>
      </c>
      <c r="D200">
        <f t="shared" si="20"/>
        <v>35.500000000000178</v>
      </c>
      <c r="E200">
        <f t="shared" si="22"/>
        <v>2.0000000000038369</v>
      </c>
      <c r="G200">
        <f t="shared" si="26"/>
        <v>296.6666666666664</v>
      </c>
      <c r="H200">
        <f t="shared" si="21"/>
        <v>16.666666666666618</v>
      </c>
      <c r="I200">
        <f t="shared" si="23"/>
        <v>0</v>
      </c>
    </row>
    <row r="201" spans="1:9">
      <c r="A201">
        <f t="shared" si="24"/>
        <v>17.899999999999984</v>
      </c>
      <c r="C201">
        <f t="shared" si="25"/>
        <v>320.40999999999946</v>
      </c>
      <c r="D201">
        <f t="shared" si="20"/>
        <v>35.699999999999996</v>
      </c>
      <c r="E201">
        <f t="shared" si="22"/>
        <v>1.9999999999981526</v>
      </c>
      <c r="G201">
        <f t="shared" si="26"/>
        <v>298.33333333333309</v>
      </c>
      <c r="H201">
        <f t="shared" si="21"/>
        <v>16.666666666666618</v>
      </c>
      <c r="I201">
        <f t="shared" si="23"/>
        <v>0</v>
      </c>
    </row>
    <row r="202" spans="1:9">
      <c r="A202">
        <f t="shared" si="24"/>
        <v>17.999999999999986</v>
      </c>
      <c r="C202">
        <f t="shared" si="25"/>
        <v>323.99999999999949</v>
      </c>
      <c r="D202">
        <f t="shared" si="20"/>
        <v>35.899999999999807</v>
      </c>
      <c r="E202">
        <f t="shared" si="22"/>
        <v>1.9999999999980815</v>
      </c>
      <c r="G202">
        <f t="shared" si="26"/>
        <v>299.99999999999977</v>
      </c>
      <c r="H202">
        <f t="shared" si="21"/>
        <v>16.666666666666618</v>
      </c>
      <c r="I202">
        <f t="shared" si="23"/>
        <v>0</v>
      </c>
    </row>
    <row r="203" spans="1:9">
      <c r="A203">
        <f t="shared" si="24"/>
        <v>18.099999999999987</v>
      </c>
      <c r="C203">
        <f t="shared" si="25"/>
        <v>327.60999999999956</v>
      </c>
      <c r="D203">
        <f t="shared" si="20"/>
        <v>36.100000000000193</v>
      </c>
      <c r="E203">
        <f t="shared" si="22"/>
        <v>2.0000000000038369</v>
      </c>
      <c r="G203">
        <f t="shared" si="26"/>
        <v>301.66666666666646</v>
      </c>
      <c r="H203">
        <f t="shared" si="21"/>
        <v>16.666666666666618</v>
      </c>
      <c r="I203">
        <f t="shared" si="23"/>
        <v>0</v>
      </c>
    </row>
    <row r="204" spans="1:9">
      <c r="A204">
        <f t="shared" si="24"/>
        <v>18.199999999999989</v>
      </c>
      <c r="C204">
        <f t="shared" si="25"/>
        <v>331.23999999999961</v>
      </c>
      <c r="D204">
        <f t="shared" si="20"/>
        <v>36.300000000000004</v>
      </c>
      <c r="E204">
        <f t="shared" si="22"/>
        <v>1.9999999999980815</v>
      </c>
      <c r="G204">
        <f t="shared" si="26"/>
        <v>303.33333333333314</v>
      </c>
      <c r="H204">
        <f t="shared" si="21"/>
        <v>16.666666666666618</v>
      </c>
      <c r="I204">
        <f t="shared" si="23"/>
        <v>0</v>
      </c>
    </row>
    <row r="205" spans="1:9">
      <c r="A205">
        <f t="shared" si="24"/>
        <v>18.29999999999999</v>
      </c>
      <c r="C205">
        <f t="shared" si="25"/>
        <v>334.88999999999965</v>
      </c>
      <c r="D205">
        <f t="shared" si="20"/>
        <v>36.499999999999822</v>
      </c>
      <c r="E205">
        <f t="shared" si="22"/>
        <v>1.9999999999981526</v>
      </c>
      <c r="G205">
        <f t="shared" si="26"/>
        <v>304.99999999999983</v>
      </c>
      <c r="H205">
        <f t="shared" si="21"/>
        <v>16.666666666666618</v>
      </c>
      <c r="I205">
        <f t="shared" si="23"/>
        <v>0</v>
      </c>
    </row>
    <row r="206" spans="1:9">
      <c r="A206">
        <f t="shared" ref="A206:A269" si="27">A205+$B$20</f>
        <v>18.399999999999991</v>
      </c>
      <c r="C206">
        <f t="shared" si="25"/>
        <v>338.55999999999966</v>
      </c>
      <c r="D206">
        <f t="shared" si="20"/>
        <v>36.69999999999964</v>
      </c>
      <c r="E206">
        <f t="shared" si="22"/>
        <v>1.9999999999981526</v>
      </c>
      <c r="G206">
        <f t="shared" si="26"/>
        <v>306.66666666666657</v>
      </c>
      <c r="H206">
        <f t="shared" si="21"/>
        <v>16.666666666667187</v>
      </c>
      <c r="I206">
        <f t="shared" si="23"/>
        <v>5.6843418860807207E-12</v>
      </c>
    </row>
    <row r="207" spans="1:9">
      <c r="A207">
        <f t="shared" si="27"/>
        <v>18.499999999999993</v>
      </c>
      <c r="C207">
        <f t="shared" si="25"/>
        <v>342.24999999999972</v>
      </c>
      <c r="D207">
        <f t="shared" si="20"/>
        <v>36.90000000000002</v>
      </c>
      <c r="E207">
        <f t="shared" si="22"/>
        <v>2.0000000000037659</v>
      </c>
      <c r="G207">
        <f t="shared" si="26"/>
        <v>308.33333333333326</v>
      </c>
      <c r="H207">
        <f t="shared" si="21"/>
        <v>16.666666666666618</v>
      </c>
      <c r="I207">
        <f t="shared" si="23"/>
        <v>-5.6843418860807207E-12</v>
      </c>
    </row>
    <row r="208" spans="1:9">
      <c r="A208">
        <f t="shared" si="27"/>
        <v>18.599999999999994</v>
      </c>
      <c r="C208">
        <f t="shared" si="25"/>
        <v>345.95999999999981</v>
      </c>
      <c r="D208">
        <f t="shared" si="20"/>
        <v>37.100000000000406</v>
      </c>
      <c r="E208">
        <f t="shared" si="22"/>
        <v>2.0000000000038369</v>
      </c>
      <c r="G208">
        <f t="shared" si="26"/>
        <v>309.99999999999994</v>
      </c>
      <c r="H208">
        <f t="shared" si="21"/>
        <v>16.666666666666618</v>
      </c>
      <c r="I208">
        <f t="shared" si="23"/>
        <v>0</v>
      </c>
    </row>
    <row r="209" spans="1:9">
      <c r="A209">
        <f t="shared" si="27"/>
        <v>18.699999999999996</v>
      </c>
      <c r="C209">
        <f t="shared" si="25"/>
        <v>349.68999999999983</v>
      </c>
      <c r="D209">
        <f t="shared" si="20"/>
        <v>37.299999999999649</v>
      </c>
      <c r="E209">
        <f t="shared" si="22"/>
        <v>1.9999999999923972</v>
      </c>
      <c r="G209">
        <f t="shared" si="26"/>
        <v>311.66666666666663</v>
      </c>
      <c r="H209">
        <f t="shared" si="21"/>
        <v>16.666666666666618</v>
      </c>
      <c r="I209">
        <f t="shared" si="23"/>
        <v>0</v>
      </c>
    </row>
    <row r="210" spans="1:9">
      <c r="A210">
        <f t="shared" si="27"/>
        <v>18.799999999999997</v>
      </c>
      <c r="C210">
        <f t="shared" si="25"/>
        <v>353.43999999999988</v>
      </c>
      <c r="D210">
        <f t="shared" si="20"/>
        <v>37.500000000000036</v>
      </c>
      <c r="E210">
        <f t="shared" si="22"/>
        <v>2.0000000000038369</v>
      </c>
      <c r="G210">
        <f t="shared" si="26"/>
        <v>313.33333333333331</v>
      </c>
      <c r="H210">
        <f t="shared" si="21"/>
        <v>16.666666666666618</v>
      </c>
      <c r="I210">
        <f t="shared" si="23"/>
        <v>0</v>
      </c>
    </row>
    <row r="211" spans="1:9">
      <c r="A211">
        <f t="shared" si="27"/>
        <v>18.899999999999999</v>
      </c>
      <c r="C211">
        <f t="shared" si="25"/>
        <v>357.20999999999992</v>
      </c>
      <c r="D211">
        <f t="shared" si="20"/>
        <v>37.699999999999854</v>
      </c>
      <c r="E211">
        <f t="shared" si="22"/>
        <v>1.9999999999981526</v>
      </c>
      <c r="G211">
        <f t="shared" si="26"/>
        <v>315</v>
      </c>
      <c r="H211">
        <f t="shared" si="21"/>
        <v>16.666666666666618</v>
      </c>
      <c r="I211">
        <f t="shared" si="23"/>
        <v>0</v>
      </c>
    </row>
    <row r="212" spans="1:9">
      <c r="A212">
        <f t="shared" si="27"/>
        <v>19</v>
      </c>
      <c r="C212">
        <f t="shared" si="25"/>
        <v>361</v>
      </c>
      <c r="D212">
        <f t="shared" si="20"/>
        <v>37.900000000000233</v>
      </c>
      <c r="E212">
        <f t="shared" si="22"/>
        <v>2.0000000000037659</v>
      </c>
      <c r="G212">
        <f t="shared" si="26"/>
        <v>316.66666666666669</v>
      </c>
      <c r="H212">
        <f t="shared" si="21"/>
        <v>16.666666666666618</v>
      </c>
      <c r="I212">
        <f t="shared" si="23"/>
        <v>0</v>
      </c>
    </row>
    <row r="213" spans="1:9">
      <c r="A213">
        <f t="shared" si="27"/>
        <v>19.100000000000001</v>
      </c>
      <c r="C213">
        <f t="shared" si="25"/>
        <v>364.81000000000006</v>
      </c>
      <c r="D213">
        <f t="shared" si="20"/>
        <v>38.100000000000051</v>
      </c>
      <c r="E213">
        <f t="shared" si="22"/>
        <v>1.9999999999981526</v>
      </c>
      <c r="G213">
        <f t="shared" si="26"/>
        <v>318.33333333333337</v>
      </c>
      <c r="H213">
        <f t="shared" si="21"/>
        <v>16.666666666666618</v>
      </c>
      <c r="I213">
        <f t="shared" si="23"/>
        <v>0</v>
      </c>
    </row>
    <row r="214" spans="1:9">
      <c r="A214">
        <f t="shared" si="27"/>
        <v>19.200000000000003</v>
      </c>
      <c r="C214">
        <f t="shared" si="25"/>
        <v>368.6400000000001</v>
      </c>
      <c r="D214">
        <f t="shared" si="20"/>
        <v>38.299999999999862</v>
      </c>
      <c r="E214">
        <f t="shared" si="22"/>
        <v>1.9999999999980815</v>
      </c>
      <c r="G214">
        <f t="shared" si="26"/>
        <v>320.00000000000006</v>
      </c>
      <c r="H214">
        <f t="shared" si="21"/>
        <v>16.666666666666618</v>
      </c>
      <c r="I214">
        <f t="shared" si="23"/>
        <v>0</v>
      </c>
    </row>
    <row r="215" spans="1:9">
      <c r="A215">
        <f t="shared" si="27"/>
        <v>19.300000000000004</v>
      </c>
      <c r="C215">
        <f t="shared" si="25"/>
        <v>372.49000000000018</v>
      </c>
      <c r="D215">
        <f t="shared" si="20"/>
        <v>38.500000000000249</v>
      </c>
      <c r="E215">
        <f t="shared" si="22"/>
        <v>2.0000000000038369</v>
      </c>
      <c r="G215">
        <f t="shared" si="26"/>
        <v>321.66666666666674</v>
      </c>
      <c r="H215">
        <f t="shared" si="21"/>
        <v>16.666666666666618</v>
      </c>
      <c r="I215">
        <f t="shared" si="23"/>
        <v>0</v>
      </c>
    </row>
    <row r="216" spans="1:9">
      <c r="A216">
        <f t="shared" si="27"/>
        <v>19.400000000000006</v>
      </c>
      <c r="C216">
        <f t="shared" si="25"/>
        <v>376.36000000000024</v>
      </c>
      <c r="D216">
        <f t="shared" ref="D216:D279" si="28">(C216-C215)/(A216-A215)</f>
        <v>38.700000000000067</v>
      </c>
      <c r="E216">
        <f t="shared" si="22"/>
        <v>1.9999999999981526</v>
      </c>
      <c r="G216">
        <f t="shared" si="26"/>
        <v>323.33333333333343</v>
      </c>
      <c r="H216">
        <f t="shared" ref="H216:H279" si="29">(G216-G215)/(A216-A215)</f>
        <v>16.666666666666618</v>
      </c>
      <c r="I216">
        <f t="shared" si="23"/>
        <v>0</v>
      </c>
    </row>
    <row r="217" spans="1:9">
      <c r="A217">
        <f t="shared" si="27"/>
        <v>19.500000000000007</v>
      </c>
      <c r="C217">
        <f t="shared" si="25"/>
        <v>380.25000000000028</v>
      </c>
      <c r="D217">
        <f t="shared" si="28"/>
        <v>38.899999999999878</v>
      </c>
      <c r="E217">
        <f t="shared" ref="E217:E280" si="30">(D217-D216)/(A217-A216)</f>
        <v>1.9999999999980815</v>
      </c>
      <c r="G217">
        <f t="shared" si="26"/>
        <v>325.00000000000011</v>
      </c>
      <c r="H217">
        <f t="shared" si="29"/>
        <v>16.666666666666618</v>
      </c>
      <c r="I217">
        <f t="shared" si="23"/>
        <v>0</v>
      </c>
    </row>
    <row r="218" spans="1:9">
      <c r="A218">
        <f t="shared" si="27"/>
        <v>19.600000000000009</v>
      </c>
      <c r="C218">
        <f t="shared" si="25"/>
        <v>384.16000000000031</v>
      </c>
      <c r="D218">
        <f t="shared" si="28"/>
        <v>39.099999999999696</v>
      </c>
      <c r="E218">
        <f t="shared" si="30"/>
        <v>1.9999999999981526</v>
      </c>
      <c r="G218">
        <f t="shared" si="26"/>
        <v>326.66666666666686</v>
      </c>
      <c r="H218">
        <f t="shared" si="29"/>
        <v>16.666666666667187</v>
      </c>
      <c r="I218">
        <f t="shared" si="23"/>
        <v>5.6843418860807207E-12</v>
      </c>
    </row>
    <row r="219" spans="1:9">
      <c r="A219">
        <f t="shared" si="27"/>
        <v>19.70000000000001</v>
      </c>
      <c r="C219">
        <f t="shared" si="25"/>
        <v>388.09000000000037</v>
      </c>
      <c r="D219">
        <f t="shared" si="28"/>
        <v>39.300000000000075</v>
      </c>
      <c r="E219">
        <f t="shared" si="30"/>
        <v>2.0000000000037659</v>
      </c>
      <c r="G219">
        <f t="shared" si="26"/>
        <v>328.33333333333354</v>
      </c>
      <c r="H219">
        <f t="shared" si="29"/>
        <v>16.666666666666618</v>
      </c>
      <c r="I219">
        <f t="shared" ref="I219:I282" si="31">(H219-H218)/(A219-A218)</f>
        <v>-5.6843418860807207E-12</v>
      </c>
    </row>
    <row r="220" spans="1:9">
      <c r="A220">
        <f t="shared" si="27"/>
        <v>19.800000000000011</v>
      </c>
      <c r="C220">
        <f t="shared" si="25"/>
        <v>392.04000000000048</v>
      </c>
      <c r="D220">
        <f t="shared" si="28"/>
        <v>39.500000000000462</v>
      </c>
      <c r="E220">
        <f t="shared" si="30"/>
        <v>2.0000000000038369</v>
      </c>
      <c r="G220">
        <f t="shared" si="26"/>
        <v>330.00000000000023</v>
      </c>
      <c r="H220">
        <f t="shared" si="29"/>
        <v>16.666666666666618</v>
      </c>
      <c r="I220">
        <f t="shared" si="31"/>
        <v>0</v>
      </c>
    </row>
    <row r="221" spans="1:9">
      <c r="A221">
        <f t="shared" si="27"/>
        <v>19.900000000000013</v>
      </c>
      <c r="C221">
        <f t="shared" si="25"/>
        <v>396.0100000000005</v>
      </c>
      <c r="D221">
        <f t="shared" si="28"/>
        <v>39.699999999999712</v>
      </c>
      <c r="E221">
        <f t="shared" si="30"/>
        <v>1.9999999999924682</v>
      </c>
      <c r="G221">
        <f t="shared" si="26"/>
        <v>331.66666666666691</v>
      </c>
      <c r="H221">
        <f t="shared" si="29"/>
        <v>16.666666666666618</v>
      </c>
      <c r="I221">
        <f t="shared" si="31"/>
        <v>0</v>
      </c>
    </row>
    <row r="222" spans="1:9">
      <c r="A222">
        <f t="shared" si="27"/>
        <v>20.000000000000014</v>
      </c>
      <c r="C222">
        <f t="shared" si="25"/>
        <v>400.00000000000057</v>
      </c>
      <c r="D222">
        <f t="shared" si="28"/>
        <v>39.900000000000091</v>
      </c>
      <c r="E222">
        <f t="shared" si="30"/>
        <v>2.0000000000037659</v>
      </c>
      <c r="G222">
        <f t="shared" si="26"/>
        <v>333.3333333333336</v>
      </c>
      <c r="H222">
        <f t="shared" si="29"/>
        <v>16.666666666666618</v>
      </c>
      <c r="I222">
        <f t="shared" si="31"/>
        <v>0</v>
      </c>
    </row>
    <row r="223" spans="1:9">
      <c r="A223">
        <f t="shared" si="27"/>
        <v>20.100000000000016</v>
      </c>
      <c r="C223">
        <f t="shared" si="25"/>
        <v>404.01000000000062</v>
      </c>
      <c r="D223">
        <f t="shared" si="28"/>
        <v>40.099999999999909</v>
      </c>
      <c r="E223">
        <f t="shared" si="30"/>
        <v>1.9999999999981526</v>
      </c>
      <c r="G223">
        <f t="shared" si="26"/>
        <v>335.00000000000028</v>
      </c>
      <c r="H223">
        <f t="shared" si="29"/>
        <v>16.666666666666618</v>
      </c>
      <c r="I223">
        <f t="shared" si="31"/>
        <v>0</v>
      </c>
    </row>
    <row r="224" spans="1:9">
      <c r="A224">
        <f t="shared" si="27"/>
        <v>20.200000000000017</v>
      </c>
      <c r="C224">
        <f t="shared" si="25"/>
        <v>408.0400000000007</v>
      </c>
      <c r="D224">
        <f t="shared" si="28"/>
        <v>40.300000000000288</v>
      </c>
      <c r="E224">
        <f t="shared" si="30"/>
        <v>2.0000000000037659</v>
      </c>
      <c r="G224">
        <f t="shared" si="26"/>
        <v>336.66666666666697</v>
      </c>
      <c r="H224">
        <f t="shared" si="29"/>
        <v>16.666666666666618</v>
      </c>
      <c r="I224">
        <f t="shared" si="31"/>
        <v>0</v>
      </c>
    </row>
    <row r="225" spans="1:9">
      <c r="A225">
        <f t="shared" si="27"/>
        <v>20.300000000000018</v>
      </c>
      <c r="C225">
        <f t="shared" si="25"/>
        <v>412.09000000000077</v>
      </c>
      <c r="D225">
        <f t="shared" si="28"/>
        <v>40.500000000000107</v>
      </c>
      <c r="E225">
        <f t="shared" si="30"/>
        <v>1.9999999999981526</v>
      </c>
      <c r="G225">
        <f t="shared" si="26"/>
        <v>338.33333333333366</v>
      </c>
      <c r="H225">
        <f t="shared" si="29"/>
        <v>16.666666666666618</v>
      </c>
      <c r="I225">
        <f t="shared" si="31"/>
        <v>0</v>
      </c>
    </row>
    <row r="226" spans="1:9">
      <c r="A226">
        <f t="shared" si="27"/>
        <v>20.40000000000002</v>
      </c>
      <c r="C226">
        <f t="shared" si="25"/>
        <v>416.16000000000082</v>
      </c>
      <c r="D226">
        <f t="shared" si="28"/>
        <v>40.699999999999925</v>
      </c>
      <c r="E226">
        <f t="shared" si="30"/>
        <v>1.9999999999981526</v>
      </c>
      <c r="G226">
        <f t="shared" si="26"/>
        <v>340.00000000000034</v>
      </c>
      <c r="H226">
        <f t="shared" si="29"/>
        <v>16.666666666666618</v>
      </c>
      <c r="I226">
        <f t="shared" si="31"/>
        <v>0</v>
      </c>
    </row>
    <row r="227" spans="1:9">
      <c r="A227">
        <f t="shared" si="27"/>
        <v>20.500000000000021</v>
      </c>
      <c r="C227">
        <f t="shared" si="25"/>
        <v>420.25000000000085</v>
      </c>
      <c r="D227">
        <f t="shared" si="28"/>
        <v>40.899999999999736</v>
      </c>
      <c r="E227">
        <f t="shared" si="30"/>
        <v>1.9999999999980815</v>
      </c>
      <c r="G227">
        <f t="shared" si="26"/>
        <v>341.66666666666703</v>
      </c>
      <c r="H227">
        <f t="shared" si="29"/>
        <v>16.666666666666618</v>
      </c>
      <c r="I227">
        <f t="shared" si="31"/>
        <v>0</v>
      </c>
    </row>
    <row r="228" spans="1:9">
      <c r="A228">
        <f t="shared" si="27"/>
        <v>20.600000000000023</v>
      </c>
      <c r="C228">
        <f t="shared" si="25"/>
        <v>424.36000000000092</v>
      </c>
      <c r="D228">
        <f t="shared" si="28"/>
        <v>41.100000000000122</v>
      </c>
      <c r="E228">
        <f t="shared" si="30"/>
        <v>2.0000000000038369</v>
      </c>
      <c r="G228">
        <f t="shared" si="26"/>
        <v>343.33333333333371</v>
      </c>
      <c r="H228">
        <f t="shared" si="29"/>
        <v>16.666666666666618</v>
      </c>
      <c r="I228">
        <f t="shared" si="31"/>
        <v>0</v>
      </c>
    </row>
    <row r="229" spans="1:9">
      <c r="A229">
        <f t="shared" si="27"/>
        <v>20.700000000000024</v>
      </c>
      <c r="C229">
        <f t="shared" si="25"/>
        <v>428.49000000000098</v>
      </c>
      <c r="D229">
        <f t="shared" si="28"/>
        <v>41.299999999999933</v>
      </c>
      <c r="E229">
        <f t="shared" si="30"/>
        <v>1.9999999999980815</v>
      </c>
      <c r="G229">
        <f t="shared" si="26"/>
        <v>345.00000000000045</v>
      </c>
      <c r="H229">
        <f t="shared" si="29"/>
        <v>16.666666666667187</v>
      </c>
      <c r="I229">
        <f t="shared" si="31"/>
        <v>5.6843418860807207E-12</v>
      </c>
    </row>
    <row r="230" spans="1:9">
      <c r="A230">
        <f t="shared" si="27"/>
        <v>20.800000000000026</v>
      </c>
      <c r="C230">
        <f t="shared" si="25"/>
        <v>432.64000000000107</v>
      </c>
      <c r="D230">
        <f t="shared" si="28"/>
        <v>41.50000000000032</v>
      </c>
      <c r="E230">
        <f t="shared" si="30"/>
        <v>2.0000000000038369</v>
      </c>
      <c r="G230">
        <f t="shared" si="26"/>
        <v>346.66666666666714</v>
      </c>
      <c r="H230">
        <f t="shared" si="29"/>
        <v>16.666666666666618</v>
      </c>
      <c r="I230">
        <f t="shared" si="31"/>
        <v>-5.6843418860807207E-12</v>
      </c>
    </row>
    <row r="231" spans="1:9">
      <c r="A231">
        <f t="shared" si="27"/>
        <v>20.900000000000027</v>
      </c>
      <c r="C231">
        <f t="shared" si="25"/>
        <v>436.81000000000114</v>
      </c>
      <c r="D231">
        <f t="shared" si="28"/>
        <v>41.700000000000138</v>
      </c>
      <c r="E231">
        <f t="shared" si="30"/>
        <v>1.9999999999981526</v>
      </c>
      <c r="G231">
        <f t="shared" si="26"/>
        <v>348.33333333333383</v>
      </c>
      <c r="H231">
        <f t="shared" si="29"/>
        <v>16.666666666666618</v>
      </c>
      <c r="I231">
        <f t="shared" si="31"/>
        <v>0</v>
      </c>
    </row>
    <row r="232" spans="1:9">
      <c r="A232">
        <f t="shared" si="27"/>
        <v>21.000000000000028</v>
      </c>
      <c r="C232">
        <f t="shared" si="25"/>
        <v>441.00000000000119</v>
      </c>
      <c r="D232">
        <f t="shared" si="28"/>
        <v>41.899999999999949</v>
      </c>
      <c r="E232">
        <f t="shared" si="30"/>
        <v>1.9999999999980815</v>
      </c>
      <c r="G232">
        <f t="shared" si="26"/>
        <v>350.00000000000051</v>
      </c>
      <c r="H232">
        <f t="shared" si="29"/>
        <v>16.666666666666618</v>
      </c>
      <c r="I232">
        <f t="shared" si="31"/>
        <v>0</v>
      </c>
    </row>
    <row r="233" spans="1:9">
      <c r="A233">
        <f t="shared" si="27"/>
        <v>21.10000000000003</v>
      </c>
      <c r="C233">
        <f t="shared" si="25"/>
        <v>445.21000000000129</v>
      </c>
      <c r="D233">
        <f t="shared" si="28"/>
        <v>42.100000000000335</v>
      </c>
      <c r="E233">
        <f t="shared" si="30"/>
        <v>2.0000000000038369</v>
      </c>
      <c r="G233">
        <f t="shared" si="26"/>
        <v>351.6666666666672</v>
      </c>
      <c r="H233">
        <f t="shared" si="29"/>
        <v>16.666666666666618</v>
      </c>
      <c r="I233">
        <f t="shared" si="31"/>
        <v>0</v>
      </c>
    </row>
    <row r="234" spans="1:9">
      <c r="A234">
        <f t="shared" si="27"/>
        <v>21.200000000000031</v>
      </c>
      <c r="C234">
        <f t="shared" si="25"/>
        <v>449.44000000000131</v>
      </c>
      <c r="D234">
        <f t="shared" si="28"/>
        <v>42.299999999999578</v>
      </c>
      <c r="E234">
        <f t="shared" si="30"/>
        <v>1.9999999999923972</v>
      </c>
      <c r="G234">
        <f t="shared" si="26"/>
        <v>353.33333333333388</v>
      </c>
      <c r="H234">
        <f t="shared" si="29"/>
        <v>16.666666666666618</v>
      </c>
      <c r="I234">
        <f t="shared" si="31"/>
        <v>0</v>
      </c>
    </row>
    <row r="235" spans="1:9">
      <c r="A235">
        <f t="shared" si="27"/>
        <v>21.300000000000033</v>
      </c>
      <c r="C235">
        <f t="shared" si="25"/>
        <v>453.69000000000142</v>
      </c>
      <c r="D235">
        <f t="shared" si="28"/>
        <v>42.500000000000533</v>
      </c>
      <c r="E235">
        <f t="shared" si="30"/>
        <v>2.0000000000095213</v>
      </c>
      <c r="G235">
        <f t="shared" si="26"/>
        <v>355.00000000000057</v>
      </c>
      <c r="H235">
        <f t="shared" si="29"/>
        <v>16.666666666666618</v>
      </c>
      <c r="I235">
        <f t="shared" si="31"/>
        <v>0</v>
      </c>
    </row>
    <row r="236" spans="1:9">
      <c r="A236">
        <f t="shared" si="27"/>
        <v>21.400000000000034</v>
      </c>
      <c r="C236">
        <f t="shared" si="25"/>
        <v>457.96000000000146</v>
      </c>
      <c r="D236">
        <f t="shared" si="28"/>
        <v>42.699999999999783</v>
      </c>
      <c r="E236">
        <f t="shared" si="30"/>
        <v>1.9999999999924682</v>
      </c>
      <c r="G236">
        <f t="shared" si="26"/>
        <v>356.66666666666725</v>
      </c>
      <c r="H236">
        <f t="shared" si="29"/>
        <v>16.666666666666618</v>
      </c>
      <c r="I236">
        <f t="shared" si="31"/>
        <v>0</v>
      </c>
    </row>
    <row r="237" spans="1:9">
      <c r="A237">
        <f t="shared" si="27"/>
        <v>21.500000000000036</v>
      </c>
      <c r="C237">
        <f t="shared" si="25"/>
        <v>462.25000000000153</v>
      </c>
      <c r="D237">
        <f t="shared" si="28"/>
        <v>42.900000000000162</v>
      </c>
      <c r="E237">
        <f t="shared" si="30"/>
        <v>2.0000000000037659</v>
      </c>
      <c r="G237">
        <f t="shared" si="26"/>
        <v>358.33333333333394</v>
      </c>
      <c r="H237">
        <f t="shared" si="29"/>
        <v>16.666666666666618</v>
      </c>
      <c r="I237">
        <f t="shared" si="31"/>
        <v>0</v>
      </c>
    </row>
    <row r="238" spans="1:9">
      <c r="A238">
        <f t="shared" si="27"/>
        <v>21.600000000000037</v>
      </c>
      <c r="C238">
        <f t="shared" si="25"/>
        <v>466.56000000000159</v>
      </c>
      <c r="D238">
        <f t="shared" si="28"/>
        <v>43.09999999999998</v>
      </c>
      <c r="E238">
        <f t="shared" si="30"/>
        <v>1.9999999999981526</v>
      </c>
      <c r="G238">
        <f t="shared" si="26"/>
        <v>360.00000000000063</v>
      </c>
      <c r="H238">
        <f t="shared" si="29"/>
        <v>16.666666666666618</v>
      </c>
      <c r="I238">
        <f t="shared" si="31"/>
        <v>0</v>
      </c>
    </row>
    <row r="239" spans="1:9">
      <c r="A239">
        <f t="shared" si="27"/>
        <v>21.700000000000038</v>
      </c>
      <c r="C239">
        <f t="shared" si="25"/>
        <v>470.89000000000169</v>
      </c>
      <c r="D239">
        <f t="shared" si="28"/>
        <v>43.30000000000036</v>
      </c>
      <c r="E239">
        <f t="shared" si="30"/>
        <v>2.0000000000037659</v>
      </c>
      <c r="G239">
        <f t="shared" si="26"/>
        <v>361.66666666666731</v>
      </c>
      <c r="H239">
        <f t="shared" si="29"/>
        <v>16.666666666666618</v>
      </c>
      <c r="I239">
        <f t="shared" si="31"/>
        <v>0</v>
      </c>
    </row>
    <row r="240" spans="1:9">
      <c r="A240">
        <f t="shared" si="27"/>
        <v>21.80000000000004</v>
      </c>
      <c r="C240">
        <f t="shared" si="25"/>
        <v>475.24000000000171</v>
      </c>
      <c r="D240">
        <f t="shared" si="28"/>
        <v>43.499999999999609</v>
      </c>
      <c r="E240">
        <f t="shared" si="30"/>
        <v>1.9999999999924682</v>
      </c>
      <c r="G240">
        <f t="shared" si="26"/>
        <v>363.333333333334</v>
      </c>
      <c r="H240">
        <f t="shared" si="29"/>
        <v>16.666666666666618</v>
      </c>
      <c r="I240">
        <f t="shared" si="31"/>
        <v>0</v>
      </c>
    </row>
    <row r="241" spans="1:9">
      <c r="A241">
        <f t="shared" si="27"/>
        <v>21.900000000000041</v>
      </c>
      <c r="C241">
        <f t="shared" si="25"/>
        <v>479.61000000000183</v>
      </c>
      <c r="D241">
        <f t="shared" si="28"/>
        <v>43.700000000000564</v>
      </c>
      <c r="E241">
        <f t="shared" si="30"/>
        <v>2.0000000000095213</v>
      </c>
      <c r="G241">
        <f t="shared" si="26"/>
        <v>365.00000000000074</v>
      </c>
      <c r="H241">
        <f t="shared" si="29"/>
        <v>16.666666666667187</v>
      </c>
      <c r="I241">
        <f t="shared" si="31"/>
        <v>5.6843418860807207E-12</v>
      </c>
    </row>
    <row r="242" spans="1:9">
      <c r="A242">
        <f t="shared" si="27"/>
        <v>22.000000000000043</v>
      </c>
      <c r="C242">
        <f t="shared" si="25"/>
        <v>484.00000000000188</v>
      </c>
      <c r="D242">
        <f t="shared" si="28"/>
        <v>43.899999999999807</v>
      </c>
      <c r="E242">
        <f t="shared" si="30"/>
        <v>1.9999999999923972</v>
      </c>
      <c r="G242">
        <f t="shared" si="26"/>
        <v>366.66666666666742</v>
      </c>
      <c r="H242">
        <f t="shared" si="29"/>
        <v>16.666666666666618</v>
      </c>
      <c r="I242">
        <f t="shared" si="31"/>
        <v>-5.6843418860807207E-12</v>
      </c>
    </row>
    <row r="243" spans="1:9">
      <c r="A243">
        <f t="shared" si="27"/>
        <v>22.100000000000044</v>
      </c>
      <c r="C243">
        <f t="shared" si="25"/>
        <v>488.41000000000196</v>
      </c>
      <c r="D243">
        <f t="shared" si="28"/>
        <v>44.100000000000193</v>
      </c>
      <c r="E243">
        <f t="shared" si="30"/>
        <v>2.0000000000038369</v>
      </c>
      <c r="G243">
        <f t="shared" si="26"/>
        <v>368.33333333333411</v>
      </c>
      <c r="H243">
        <f t="shared" si="29"/>
        <v>16.666666666666618</v>
      </c>
      <c r="I243">
        <f t="shared" si="31"/>
        <v>0</v>
      </c>
    </row>
    <row r="244" spans="1:9">
      <c r="A244">
        <f t="shared" si="27"/>
        <v>22.200000000000045</v>
      </c>
      <c r="C244">
        <f t="shared" si="25"/>
        <v>492.84000000000202</v>
      </c>
      <c r="D244">
        <f t="shared" si="28"/>
        <v>44.300000000000004</v>
      </c>
      <c r="E244">
        <f t="shared" si="30"/>
        <v>1.9999999999980815</v>
      </c>
      <c r="G244">
        <f t="shared" si="26"/>
        <v>370.0000000000008</v>
      </c>
      <c r="H244">
        <f t="shared" si="29"/>
        <v>16.666666666666618</v>
      </c>
      <c r="I244">
        <f t="shared" si="31"/>
        <v>0</v>
      </c>
    </row>
    <row r="245" spans="1:9">
      <c r="A245">
        <f t="shared" si="27"/>
        <v>22.300000000000047</v>
      </c>
      <c r="C245">
        <f t="shared" si="25"/>
        <v>497.29000000000207</v>
      </c>
      <c r="D245">
        <f t="shared" si="28"/>
        <v>44.499999999999822</v>
      </c>
      <c r="E245">
        <f t="shared" si="30"/>
        <v>1.9999999999981526</v>
      </c>
      <c r="G245">
        <f t="shared" si="26"/>
        <v>371.66666666666748</v>
      </c>
      <c r="H245">
        <f t="shared" si="29"/>
        <v>16.666666666666618</v>
      </c>
      <c r="I245">
        <f t="shared" si="31"/>
        <v>0</v>
      </c>
    </row>
    <row r="246" spans="1:9">
      <c r="A246">
        <f t="shared" si="27"/>
        <v>22.400000000000048</v>
      </c>
      <c r="C246">
        <f t="shared" si="25"/>
        <v>501.76000000000215</v>
      </c>
      <c r="D246">
        <f t="shared" si="28"/>
        <v>44.700000000000209</v>
      </c>
      <c r="E246">
        <f t="shared" si="30"/>
        <v>2.0000000000038369</v>
      </c>
      <c r="G246">
        <f t="shared" si="26"/>
        <v>373.33333333333417</v>
      </c>
      <c r="H246">
        <f t="shared" si="29"/>
        <v>16.666666666666618</v>
      </c>
      <c r="I246">
        <f t="shared" si="31"/>
        <v>0</v>
      </c>
    </row>
    <row r="247" spans="1:9">
      <c r="A247">
        <f t="shared" si="27"/>
        <v>22.50000000000005</v>
      </c>
      <c r="C247">
        <f t="shared" si="25"/>
        <v>506.25000000000222</v>
      </c>
      <c r="D247">
        <f t="shared" si="28"/>
        <v>44.90000000000002</v>
      </c>
      <c r="E247">
        <f t="shared" si="30"/>
        <v>1.9999999999980815</v>
      </c>
      <c r="G247">
        <f t="shared" si="26"/>
        <v>375.00000000000085</v>
      </c>
      <c r="H247">
        <f t="shared" si="29"/>
        <v>16.666666666666618</v>
      </c>
      <c r="I247">
        <f t="shared" si="31"/>
        <v>0</v>
      </c>
    </row>
    <row r="248" spans="1:9">
      <c r="A248">
        <f t="shared" si="27"/>
        <v>22.600000000000051</v>
      </c>
      <c r="C248">
        <f t="shared" si="25"/>
        <v>510.76000000000232</v>
      </c>
      <c r="D248">
        <f t="shared" si="28"/>
        <v>45.100000000000406</v>
      </c>
      <c r="E248">
        <f t="shared" si="30"/>
        <v>2.0000000000038369</v>
      </c>
      <c r="G248">
        <f t="shared" si="26"/>
        <v>376.66666666666754</v>
      </c>
      <c r="H248">
        <f t="shared" si="29"/>
        <v>16.666666666666618</v>
      </c>
      <c r="I248">
        <f t="shared" si="31"/>
        <v>0</v>
      </c>
    </row>
    <row r="249" spans="1:9">
      <c r="A249">
        <f t="shared" si="27"/>
        <v>22.700000000000053</v>
      </c>
      <c r="C249">
        <f t="shared" si="25"/>
        <v>515.29000000000235</v>
      </c>
      <c r="D249">
        <f t="shared" si="28"/>
        <v>45.299999999999649</v>
      </c>
      <c r="E249">
        <f t="shared" si="30"/>
        <v>1.9999999999923972</v>
      </c>
      <c r="G249">
        <f t="shared" si="26"/>
        <v>378.33333333333422</v>
      </c>
      <c r="H249">
        <f t="shared" si="29"/>
        <v>16.666666666666618</v>
      </c>
      <c r="I249">
        <f t="shared" si="31"/>
        <v>0</v>
      </c>
    </row>
    <row r="250" spans="1:9">
      <c r="A250">
        <f t="shared" si="27"/>
        <v>22.800000000000054</v>
      </c>
      <c r="C250">
        <f t="shared" si="25"/>
        <v>519.84000000000242</v>
      </c>
      <c r="D250">
        <f t="shared" si="28"/>
        <v>45.500000000000036</v>
      </c>
      <c r="E250">
        <f t="shared" si="30"/>
        <v>2.0000000000038369</v>
      </c>
      <c r="G250">
        <f t="shared" si="26"/>
        <v>380.00000000000091</v>
      </c>
      <c r="H250">
        <f t="shared" si="29"/>
        <v>16.666666666666618</v>
      </c>
      <c r="I250">
        <f t="shared" si="31"/>
        <v>0</v>
      </c>
    </row>
    <row r="251" spans="1:9">
      <c r="A251">
        <f t="shared" si="27"/>
        <v>22.900000000000055</v>
      </c>
      <c r="C251">
        <f t="shared" ref="C251:C314" si="32">$D$15+$D$16*A251+($D$17*A251^2)/2</f>
        <v>524.41000000000258</v>
      </c>
      <c r="D251">
        <f t="shared" si="28"/>
        <v>45.70000000000099</v>
      </c>
      <c r="E251">
        <f t="shared" si="30"/>
        <v>2.0000000000095213</v>
      </c>
      <c r="G251">
        <f t="shared" ref="G251:G314" si="33">$H$16+$K$15*A251</f>
        <v>381.6666666666676</v>
      </c>
      <c r="H251">
        <f t="shared" si="29"/>
        <v>16.666666666666618</v>
      </c>
      <c r="I251">
        <f t="shared" si="31"/>
        <v>0</v>
      </c>
    </row>
    <row r="252" spans="1:9">
      <c r="A252">
        <f t="shared" si="27"/>
        <v>23.000000000000057</v>
      </c>
      <c r="C252">
        <f t="shared" si="32"/>
        <v>529.00000000000261</v>
      </c>
      <c r="D252">
        <f t="shared" si="28"/>
        <v>45.899999999999665</v>
      </c>
      <c r="E252">
        <f t="shared" si="30"/>
        <v>1.9999999999867129</v>
      </c>
      <c r="G252">
        <f t="shared" si="33"/>
        <v>383.33333333333428</v>
      </c>
      <c r="H252">
        <f t="shared" si="29"/>
        <v>16.666666666666618</v>
      </c>
      <c r="I252">
        <f t="shared" si="31"/>
        <v>0</v>
      </c>
    </row>
    <row r="253" spans="1:9">
      <c r="A253">
        <f t="shared" si="27"/>
        <v>23.100000000000058</v>
      </c>
      <c r="C253">
        <f t="shared" si="32"/>
        <v>533.61000000000274</v>
      </c>
      <c r="D253">
        <f t="shared" si="28"/>
        <v>46.10000000000062</v>
      </c>
      <c r="E253">
        <f t="shared" si="30"/>
        <v>2.0000000000095213</v>
      </c>
      <c r="G253">
        <f t="shared" si="33"/>
        <v>385.00000000000102</v>
      </c>
      <c r="H253">
        <f t="shared" si="29"/>
        <v>16.666666666667187</v>
      </c>
      <c r="I253">
        <f t="shared" si="31"/>
        <v>5.6843418860807207E-12</v>
      </c>
    </row>
    <row r="254" spans="1:9">
      <c r="A254">
        <f t="shared" si="27"/>
        <v>23.20000000000006</v>
      </c>
      <c r="C254">
        <f t="shared" si="32"/>
        <v>538.24000000000274</v>
      </c>
      <c r="D254">
        <f t="shared" si="28"/>
        <v>46.299999999999294</v>
      </c>
      <c r="E254">
        <f t="shared" si="30"/>
        <v>1.9999999999867129</v>
      </c>
      <c r="G254">
        <f t="shared" si="33"/>
        <v>386.66666666666771</v>
      </c>
      <c r="H254">
        <f t="shared" si="29"/>
        <v>16.666666666666618</v>
      </c>
      <c r="I254">
        <f t="shared" si="31"/>
        <v>-5.6843418860807207E-12</v>
      </c>
    </row>
    <row r="255" spans="1:9">
      <c r="A255">
        <f t="shared" si="27"/>
        <v>23.300000000000061</v>
      </c>
      <c r="C255">
        <f t="shared" si="32"/>
        <v>542.89000000000283</v>
      </c>
      <c r="D255">
        <f t="shared" si="28"/>
        <v>46.500000000000249</v>
      </c>
      <c r="E255">
        <f t="shared" si="30"/>
        <v>2.0000000000095213</v>
      </c>
      <c r="G255">
        <f t="shared" si="33"/>
        <v>388.33333333333439</v>
      </c>
      <c r="H255">
        <f t="shared" si="29"/>
        <v>16.666666666666618</v>
      </c>
      <c r="I255">
        <f t="shared" si="31"/>
        <v>0</v>
      </c>
    </row>
    <row r="256" spans="1:9">
      <c r="A256">
        <f t="shared" si="27"/>
        <v>23.400000000000063</v>
      </c>
      <c r="C256">
        <f t="shared" si="32"/>
        <v>547.5600000000029</v>
      </c>
      <c r="D256">
        <f t="shared" si="28"/>
        <v>46.700000000000067</v>
      </c>
      <c r="E256">
        <f t="shared" si="30"/>
        <v>1.9999999999981526</v>
      </c>
      <c r="G256">
        <f t="shared" si="33"/>
        <v>390.00000000000108</v>
      </c>
      <c r="H256">
        <f t="shared" si="29"/>
        <v>16.666666666666618</v>
      </c>
      <c r="I256">
        <f t="shared" si="31"/>
        <v>0</v>
      </c>
    </row>
    <row r="257" spans="1:9">
      <c r="A257">
        <f t="shared" si="27"/>
        <v>23.500000000000064</v>
      </c>
      <c r="C257">
        <f t="shared" si="32"/>
        <v>552.25000000000296</v>
      </c>
      <c r="D257">
        <f t="shared" si="28"/>
        <v>46.899999999999878</v>
      </c>
      <c r="E257">
        <f t="shared" si="30"/>
        <v>1.9999999999980815</v>
      </c>
      <c r="G257">
        <f t="shared" si="33"/>
        <v>391.66666666666777</v>
      </c>
      <c r="H257">
        <f t="shared" si="29"/>
        <v>16.666666666666618</v>
      </c>
      <c r="I257">
        <f t="shared" si="31"/>
        <v>0</v>
      </c>
    </row>
    <row r="258" spans="1:9">
      <c r="A258">
        <f t="shared" si="27"/>
        <v>23.600000000000065</v>
      </c>
      <c r="C258">
        <f t="shared" si="32"/>
        <v>556.96000000000311</v>
      </c>
      <c r="D258">
        <f t="shared" si="28"/>
        <v>47.100000000000833</v>
      </c>
      <c r="E258">
        <f t="shared" si="30"/>
        <v>2.0000000000095213</v>
      </c>
      <c r="G258">
        <f t="shared" si="33"/>
        <v>393.33333333333445</v>
      </c>
      <c r="H258">
        <f t="shared" si="29"/>
        <v>16.666666666666618</v>
      </c>
      <c r="I258">
        <f t="shared" si="31"/>
        <v>0</v>
      </c>
    </row>
    <row r="259" spans="1:9">
      <c r="A259">
        <f t="shared" si="27"/>
        <v>23.700000000000067</v>
      </c>
      <c r="C259">
        <f t="shared" si="32"/>
        <v>561.69000000000312</v>
      </c>
      <c r="D259">
        <f t="shared" si="28"/>
        <v>47.299999999999507</v>
      </c>
      <c r="E259">
        <f t="shared" si="30"/>
        <v>1.9999999999867129</v>
      </c>
      <c r="G259">
        <f t="shared" si="33"/>
        <v>395.00000000000114</v>
      </c>
      <c r="H259">
        <f t="shared" si="29"/>
        <v>16.666666666666618</v>
      </c>
      <c r="I259">
        <f t="shared" si="31"/>
        <v>0</v>
      </c>
    </row>
    <row r="260" spans="1:9">
      <c r="A260">
        <f t="shared" si="27"/>
        <v>23.800000000000068</v>
      </c>
      <c r="C260">
        <f t="shared" si="32"/>
        <v>566.44000000000324</v>
      </c>
      <c r="D260">
        <f t="shared" si="28"/>
        <v>47.500000000000462</v>
      </c>
      <c r="E260">
        <f t="shared" si="30"/>
        <v>2.0000000000095213</v>
      </c>
      <c r="G260">
        <f t="shared" si="33"/>
        <v>396.66666666666782</v>
      </c>
      <c r="H260">
        <f t="shared" si="29"/>
        <v>16.666666666666618</v>
      </c>
      <c r="I260">
        <f t="shared" si="31"/>
        <v>0</v>
      </c>
    </row>
    <row r="261" spans="1:9">
      <c r="A261">
        <f t="shared" si="27"/>
        <v>23.90000000000007</v>
      </c>
      <c r="C261">
        <f t="shared" si="32"/>
        <v>571.21000000000333</v>
      </c>
      <c r="D261">
        <f t="shared" si="28"/>
        <v>47.70000000000028</v>
      </c>
      <c r="E261">
        <f t="shared" si="30"/>
        <v>1.9999999999981526</v>
      </c>
      <c r="G261">
        <f t="shared" si="33"/>
        <v>398.33333333333451</v>
      </c>
      <c r="H261">
        <f t="shared" si="29"/>
        <v>16.666666666666618</v>
      </c>
      <c r="I261">
        <f t="shared" si="31"/>
        <v>0</v>
      </c>
    </row>
    <row r="262" spans="1:9">
      <c r="A262">
        <f t="shared" si="27"/>
        <v>24.000000000000071</v>
      </c>
      <c r="C262">
        <f t="shared" si="32"/>
        <v>576.00000000000341</v>
      </c>
      <c r="D262">
        <f t="shared" si="28"/>
        <v>47.900000000000091</v>
      </c>
      <c r="E262">
        <f t="shared" si="30"/>
        <v>1.9999999999980815</v>
      </c>
      <c r="G262">
        <f t="shared" si="33"/>
        <v>400.00000000000119</v>
      </c>
      <c r="H262">
        <f t="shared" si="29"/>
        <v>16.666666666666618</v>
      </c>
      <c r="I262">
        <f t="shared" si="31"/>
        <v>0</v>
      </c>
    </row>
    <row r="263" spans="1:9">
      <c r="A263">
        <f t="shared" si="27"/>
        <v>24.100000000000072</v>
      </c>
      <c r="C263">
        <f t="shared" si="32"/>
        <v>580.81000000000347</v>
      </c>
      <c r="D263">
        <f t="shared" si="28"/>
        <v>48.099999999999909</v>
      </c>
      <c r="E263">
        <f t="shared" si="30"/>
        <v>1.9999999999981526</v>
      </c>
      <c r="G263">
        <f t="shared" si="33"/>
        <v>401.66666666666788</v>
      </c>
      <c r="H263">
        <f t="shared" si="29"/>
        <v>16.666666666666618</v>
      </c>
      <c r="I263">
        <f t="shared" si="31"/>
        <v>0</v>
      </c>
    </row>
    <row r="264" spans="1:9">
      <c r="A264">
        <f t="shared" si="27"/>
        <v>24.200000000000074</v>
      </c>
      <c r="C264">
        <f t="shared" si="32"/>
        <v>585.64000000000362</v>
      </c>
      <c r="D264">
        <f t="shared" si="28"/>
        <v>48.300000000000857</v>
      </c>
      <c r="E264">
        <f t="shared" si="30"/>
        <v>2.0000000000094502</v>
      </c>
      <c r="G264">
        <f t="shared" si="33"/>
        <v>403.33333333333462</v>
      </c>
      <c r="H264">
        <f t="shared" si="29"/>
        <v>16.666666666667187</v>
      </c>
      <c r="I264">
        <f t="shared" si="31"/>
        <v>5.6843418860807207E-12</v>
      </c>
    </row>
    <row r="265" spans="1:9">
      <c r="A265">
        <f t="shared" si="27"/>
        <v>24.300000000000075</v>
      </c>
      <c r="C265">
        <f t="shared" si="32"/>
        <v>590.49000000000365</v>
      </c>
      <c r="D265">
        <f t="shared" si="28"/>
        <v>48.499999999999538</v>
      </c>
      <c r="E265">
        <f t="shared" si="30"/>
        <v>1.9999999999867839</v>
      </c>
      <c r="G265">
        <f t="shared" si="33"/>
        <v>405.00000000000131</v>
      </c>
      <c r="H265">
        <f t="shared" si="29"/>
        <v>16.666666666666618</v>
      </c>
      <c r="I265">
        <f t="shared" si="31"/>
        <v>-5.6843418860807207E-12</v>
      </c>
    </row>
    <row r="266" spans="1:9">
      <c r="A266">
        <f t="shared" si="27"/>
        <v>24.400000000000077</v>
      </c>
      <c r="C266">
        <f t="shared" si="32"/>
        <v>595.36000000000377</v>
      </c>
      <c r="D266">
        <f t="shared" si="28"/>
        <v>48.700000000000493</v>
      </c>
      <c r="E266">
        <f t="shared" si="30"/>
        <v>2.0000000000095213</v>
      </c>
      <c r="G266">
        <f t="shared" si="33"/>
        <v>406.66666666666799</v>
      </c>
      <c r="H266">
        <f t="shared" si="29"/>
        <v>16.666666666666618</v>
      </c>
      <c r="I266">
        <f t="shared" si="31"/>
        <v>0</v>
      </c>
    </row>
    <row r="267" spans="1:9">
      <c r="A267">
        <f t="shared" si="27"/>
        <v>24.500000000000078</v>
      </c>
      <c r="C267">
        <f t="shared" si="32"/>
        <v>600.25000000000387</v>
      </c>
      <c r="D267">
        <f t="shared" si="28"/>
        <v>48.900000000000304</v>
      </c>
      <c r="E267">
        <f t="shared" si="30"/>
        <v>1.9999999999980815</v>
      </c>
      <c r="G267">
        <f t="shared" si="33"/>
        <v>408.33333333333468</v>
      </c>
      <c r="H267">
        <f t="shared" si="29"/>
        <v>16.666666666666618</v>
      </c>
      <c r="I267">
        <f t="shared" si="31"/>
        <v>0</v>
      </c>
    </row>
    <row r="268" spans="1:9">
      <c r="A268">
        <f t="shared" si="27"/>
        <v>24.60000000000008</v>
      </c>
      <c r="C268">
        <f t="shared" si="32"/>
        <v>605.16000000000395</v>
      </c>
      <c r="D268">
        <f t="shared" si="28"/>
        <v>49.100000000000122</v>
      </c>
      <c r="E268">
        <f t="shared" si="30"/>
        <v>1.9999999999981526</v>
      </c>
      <c r="G268">
        <f t="shared" si="33"/>
        <v>410.00000000000136</v>
      </c>
      <c r="H268">
        <f t="shared" si="29"/>
        <v>16.666666666666618</v>
      </c>
      <c r="I268">
        <f t="shared" si="31"/>
        <v>0</v>
      </c>
    </row>
    <row r="269" spans="1:9">
      <c r="A269">
        <f t="shared" si="27"/>
        <v>24.700000000000081</v>
      </c>
      <c r="C269">
        <f t="shared" si="32"/>
        <v>610.09000000000401</v>
      </c>
      <c r="D269">
        <f t="shared" si="28"/>
        <v>49.299999999999933</v>
      </c>
      <c r="E269">
        <f t="shared" si="30"/>
        <v>1.9999999999980815</v>
      </c>
      <c r="G269">
        <f t="shared" si="33"/>
        <v>411.66666666666805</v>
      </c>
      <c r="H269">
        <f t="shared" si="29"/>
        <v>16.666666666666618</v>
      </c>
      <c r="I269">
        <f t="shared" si="31"/>
        <v>0</v>
      </c>
    </row>
    <row r="270" spans="1:9">
      <c r="A270">
        <f t="shared" ref="A270:A333" si="34">A269+$B$20</f>
        <v>24.800000000000082</v>
      </c>
      <c r="C270">
        <f t="shared" si="32"/>
        <v>615.04000000000406</v>
      </c>
      <c r="D270">
        <f t="shared" si="28"/>
        <v>49.499999999999751</v>
      </c>
      <c r="E270">
        <f t="shared" si="30"/>
        <v>1.9999999999981526</v>
      </c>
      <c r="G270">
        <f t="shared" si="33"/>
        <v>413.33333333333474</v>
      </c>
      <c r="H270">
        <f t="shared" si="29"/>
        <v>16.666666666666618</v>
      </c>
      <c r="I270">
        <f t="shared" si="31"/>
        <v>0</v>
      </c>
    </row>
    <row r="271" spans="1:9">
      <c r="A271">
        <f t="shared" si="34"/>
        <v>24.900000000000084</v>
      </c>
      <c r="C271">
        <f t="shared" si="32"/>
        <v>620.0100000000042</v>
      </c>
      <c r="D271">
        <f t="shared" si="28"/>
        <v>49.700000000000706</v>
      </c>
      <c r="E271">
        <f t="shared" si="30"/>
        <v>2.0000000000095213</v>
      </c>
      <c r="G271">
        <f t="shared" si="33"/>
        <v>415.00000000000142</v>
      </c>
      <c r="H271">
        <f t="shared" si="29"/>
        <v>16.666666666666618</v>
      </c>
      <c r="I271">
        <f t="shared" si="31"/>
        <v>0</v>
      </c>
    </row>
    <row r="272" spans="1:9">
      <c r="A272">
        <f t="shared" si="34"/>
        <v>25.000000000000085</v>
      </c>
      <c r="C272">
        <f t="shared" si="32"/>
        <v>625.00000000000432</v>
      </c>
      <c r="D272">
        <f t="shared" si="28"/>
        <v>49.900000000000517</v>
      </c>
      <c r="E272">
        <f t="shared" si="30"/>
        <v>1.9999999999980815</v>
      </c>
      <c r="G272">
        <f t="shared" si="33"/>
        <v>416.66666666666811</v>
      </c>
      <c r="H272">
        <f t="shared" si="29"/>
        <v>16.666666666666618</v>
      </c>
      <c r="I272">
        <f t="shared" si="31"/>
        <v>0</v>
      </c>
    </row>
    <row r="273" spans="1:9">
      <c r="A273">
        <f t="shared" si="34"/>
        <v>25.100000000000087</v>
      </c>
      <c r="C273">
        <f t="shared" si="32"/>
        <v>630.01000000000431</v>
      </c>
      <c r="D273">
        <f t="shared" si="28"/>
        <v>50.099999999999199</v>
      </c>
      <c r="E273">
        <f t="shared" si="30"/>
        <v>1.9999999999867839</v>
      </c>
      <c r="G273">
        <f t="shared" si="33"/>
        <v>418.33333333333479</v>
      </c>
      <c r="H273">
        <f t="shared" si="29"/>
        <v>16.666666666666618</v>
      </c>
      <c r="I273">
        <f t="shared" si="31"/>
        <v>0</v>
      </c>
    </row>
    <row r="274" spans="1:9">
      <c r="A274">
        <f t="shared" si="34"/>
        <v>25.200000000000088</v>
      </c>
      <c r="C274">
        <f t="shared" si="32"/>
        <v>635.0400000000044</v>
      </c>
      <c r="D274">
        <f t="shared" si="28"/>
        <v>50.300000000000146</v>
      </c>
      <c r="E274">
        <f t="shared" si="30"/>
        <v>2.0000000000094502</v>
      </c>
      <c r="G274">
        <f t="shared" si="33"/>
        <v>420.00000000000148</v>
      </c>
      <c r="H274">
        <f t="shared" si="29"/>
        <v>16.666666666666618</v>
      </c>
      <c r="I274">
        <f t="shared" si="31"/>
        <v>0</v>
      </c>
    </row>
    <row r="275" spans="1:9">
      <c r="A275">
        <f t="shared" si="34"/>
        <v>25.30000000000009</v>
      </c>
      <c r="C275">
        <f t="shared" si="32"/>
        <v>640.09000000000458</v>
      </c>
      <c r="D275">
        <f t="shared" si="28"/>
        <v>50.500000000001101</v>
      </c>
      <c r="E275">
        <f t="shared" si="30"/>
        <v>2.0000000000095213</v>
      </c>
      <c r="G275">
        <f t="shared" si="33"/>
        <v>421.66666666666816</v>
      </c>
      <c r="H275">
        <f t="shared" si="29"/>
        <v>16.666666666666618</v>
      </c>
      <c r="I275">
        <f t="shared" si="31"/>
        <v>0</v>
      </c>
    </row>
    <row r="276" spans="1:9">
      <c r="A276">
        <f t="shared" si="34"/>
        <v>25.400000000000091</v>
      </c>
      <c r="C276">
        <f t="shared" si="32"/>
        <v>645.16000000000463</v>
      </c>
      <c r="D276">
        <f t="shared" si="28"/>
        <v>50.699999999999783</v>
      </c>
      <c r="E276">
        <f t="shared" si="30"/>
        <v>1.9999999999867839</v>
      </c>
      <c r="G276">
        <f t="shared" si="33"/>
        <v>423.33333333333491</v>
      </c>
      <c r="H276">
        <f t="shared" si="29"/>
        <v>16.666666666667187</v>
      </c>
      <c r="I276">
        <f t="shared" si="31"/>
        <v>5.6843418860807207E-12</v>
      </c>
    </row>
    <row r="277" spans="1:9">
      <c r="A277">
        <f t="shared" si="34"/>
        <v>25.500000000000092</v>
      </c>
      <c r="C277">
        <f t="shared" si="32"/>
        <v>650.25000000000466</v>
      </c>
      <c r="D277">
        <f t="shared" si="28"/>
        <v>50.899999999999594</v>
      </c>
      <c r="E277">
        <f t="shared" si="30"/>
        <v>1.9999999999980815</v>
      </c>
      <c r="G277">
        <f t="shared" si="33"/>
        <v>425.00000000000159</v>
      </c>
      <c r="H277">
        <f t="shared" si="29"/>
        <v>16.666666666666618</v>
      </c>
      <c r="I277">
        <f t="shared" si="31"/>
        <v>-5.6843418860807207E-12</v>
      </c>
    </row>
    <row r="278" spans="1:9">
      <c r="A278">
        <f t="shared" si="34"/>
        <v>25.600000000000094</v>
      </c>
      <c r="C278">
        <f t="shared" si="32"/>
        <v>655.36000000000479</v>
      </c>
      <c r="D278">
        <f t="shared" si="28"/>
        <v>51.100000000000549</v>
      </c>
      <c r="E278">
        <f t="shared" si="30"/>
        <v>2.0000000000095213</v>
      </c>
      <c r="G278">
        <f t="shared" si="33"/>
        <v>426.66666666666828</v>
      </c>
      <c r="H278">
        <f t="shared" si="29"/>
        <v>16.666666666666618</v>
      </c>
      <c r="I278">
        <f t="shared" si="31"/>
        <v>0</v>
      </c>
    </row>
    <row r="279" spans="1:9">
      <c r="A279">
        <f t="shared" si="34"/>
        <v>25.700000000000095</v>
      </c>
      <c r="C279">
        <f t="shared" si="32"/>
        <v>660.4900000000049</v>
      </c>
      <c r="D279">
        <f t="shared" si="28"/>
        <v>51.30000000000036</v>
      </c>
      <c r="E279">
        <f t="shared" si="30"/>
        <v>1.9999999999980815</v>
      </c>
      <c r="G279">
        <f t="shared" si="33"/>
        <v>428.33333333333496</v>
      </c>
      <c r="H279">
        <f t="shared" si="29"/>
        <v>16.666666666666618</v>
      </c>
      <c r="I279">
        <f t="shared" si="31"/>
        <v>0</v>
      </c>
    </row>
    <row r="280" spans="1:9">
      <c r="A280">
        <f t="shared" si="34"/>
        <v>25.800000000000097</v>
      </c>
      <c r="C280">
        <f t="shared" si="32"/>
        <v>665.64000000000499</v>
      </c>
      <c r="D280">
        <f t="shared" ref="D280:D343" si="35">(C280-C279)/(A280-A279)</f>
        <v>51.500000000000178</v>
      </c>
      <c r="E280">
        <f t="shared" si="30"/>
        <v>1.9999999999981526</v>
      </c>
      <c r="G280">
        <f t="shared" si="33"/>
        <v>430.00000000000165</v>
      </c>
      <c r="H280">
        <f t="shared" ref="H280:H343" si="36">(G280-G279)/(A280-A279)</f>
        <v>16.666666666666618</v>
      </c>
      <c r="I280">
        <f t="shared" si="31"/>
        <v>0</v>
      </c>
    </row>
    <row r="281" spans="1:9">
      <c r="A281">
        <f t="shared" si="34"/>
        <v>25.900000000000098</v>
      </c>
      <c r="C281">
        <f t="shared" si="32"/>
        <v>670.81000000000506</v>
      </c>
      <c r="D281">
        <f t="shared" si="35"/>
        <v>51.699999999999996</v>
      </c>
      <c r="E281">
        <f t="shared" ref="E281:E344" si="37">(D281-D280)/(A281-A280)</f>
        <v>1.9999999999981526</v>
      </c>
      <c r="G281">
        <f t="shared" si="33"/>
        <v>431.66666666666833</v>
      </c>
      <c r="H281">
        <f t="shared" si="36"/>
        <v>16.666666666666618</v>
      </c>
      <c r="I281">
        <f t="shared" si="31"/>
        <v>0</v>
      </c>
    </row>
    <row r="282" spans="1:9">
      <c r="A282">
        <f t="shared" si="34"/>
        <v>26.000000000000099</v>
      </c>
      <c r="C282">
        <f t="shared" si="32"/>
        <v>676.00000000000523</v>
      </c>
      <c r="D282">
        <f t="shared" si="35"/>
        <v>51.900000000000944</v>
      </c>
      <c r="E282">
        <f t="shared" si="37"/>
        <v>2.0000000000094502</v>
      </c>
      <c r="G282">
        <f t="shared" si="33"/>
        <v>433.33333333333502</v>
      </c>
      <c r="H282">
        <f t="shared" si="36"/>
        <v>16.666666666666618</v>
      </c>
      <c r="I282">
        <f t="shared" si="31"/>
        <v>0</v>
      </c>
    </row>
    <row r="283" spans="1:9">
      <c r="A283">
        <f t="shared" si="34"/>
        <v>26.100000000000101</v>
      </c>
      <c r="C283">
        <f t="shared" si="32"/>
        <v>681.21000000000527</v>
      </c>
      <c r="D283">
        <f t="shared" si="35"/>
        <v>52.099999999999625</v>
      </c>
      <c r="E283">
        <f t="shared" si="37"/>
        <v>1.9999999999867839</v>
      </c>
      <c r="G283">
        <f t="shared" si="33"/>
        <v>435.00000000000171</v>
      </c>
      <c r="H283">
        <f t="shared" si="36"/>
        <v>16.666666666666618</v>
      </c>
      <c r="I283">
        <f t="shared" ref="I283:I346" si="38">(H283-H282)/(A283-A282)</f>
        <v>0</v>
      </c>
    </row>
    <row r="284" spans="1:9">
      <c r="A284">
        <f t="shared" si="34"/>
        <v>26.200000000000102</v>
      </c>
      <c r="C284">
        <f t="shared" si="32"/>
        <v>686.4400000000054</v>
      </c>
      <c r="D284">
        <f t="shared" si="35"/>
        <v>52.300000000000573</v>
      </c>
      <c r="E284">
        <f t="shared" si="37"/>
        <v>2.0000000000094502</v>
      </c>
      <c r="G284">
        <f t="shared" si="33"/>
        <v>436.66666666666839</v>
      </c>
      <c r="H284">
        <f t="shared" si="36"/>
        <v>16.666666666666618</v>
      </c>
      <c r="I284">
        <f t="shared" si="38"/>
        <v>0</v>
      </c>
    </row>
    <row r="285" spans="1:9">
      <c r="A285">
        <f t="shared" si="34"/>
        <v>26.300000000000104</v>
      </c>
      <c r="C285">
        <f t="shared" si="32"/>
        <v>691.69000000000551</v>
      </c>
      <c r="D285">
        <f t="shared" si="35"/>
        <v>52.500000000000391</v>
      </c>
      <c r="E285">
        <f t="shared" si="37"/>
        <v>1.9999999999981526</v>
      </c>
      <c r="G285">
        <f t="shared" si="33"/>
        <v>438.33333333333508</v>
      </c>
      <c r="H285">
        <f t="shared" si="36"/>
        <v>16.666666666666618</v>
      </c>
      <c r="I285">
        <f t="shared" si="38"/>
        <v>0</v>
      </c>
    </row>
    <row r="286" spans="1:9">
      <c r="A286">
        <f t="shared" si="34"/>
        <v>26.400000000000105</v>
      </c>
      <c r="C286">
        <f t="shared" si="32"/>
        <v>696.96000000000561</v>
      </c>
      <c r="D286">
        <f t="shared" si="35"/>
        <v>52.700000000000209</v>
      </c>
      <c r="E286">
        <f t="shared" si="37"/>
        <v>1.9999999999981526</v>
      </c>
      <c r="G286">
        <f t="shared" si="33"/>
        <v>440.00000000000176</v>
      </c>
      <c r="H286">
        <f t="shared" si="36"/>
        <v>16.666666666666618</v>
      </c>
      <c r="I286">
        <f t="shared" si="38"/>
        <v>0</v>
      </c>
    </row>
    <row r="287" spans="1:9">
      <c r="A287">
        <f t="shared" si="34"/>
        <v>26.500000000000107</v>
      </c>
      <c r="C287">
        <f t="shared" si="32"/>
        <v>702.25000000000568</v>
      </c>
      <c r="D287">
        <f t="shared" si="35"/>
        <v>52.90000000000002</v>
      </c>
      <c r="E287">
        <f t="shared" si="37"/>
        <v>1.9999999999980815</v>
      </c>
      <c r="G287">
        <f t="shared" si="33"/>
        <v>441.66666666666845</v>
      </c>
      <c r="H287">
        <f t="shared" si="36"/>
        <v>16.666666666666618</v>
      </c>
      <c r="I287">
        <f t="shared" si="38"/>
        <v>0</v>
      </c>
    </row>
    <row r="288" spans="1:9">
      <c r="A288">
        <f t="shared" si="34"/>
        <v>26.600000000000108</v>
      </c>
      <c r="C288">
        <f t="shared" si="32"/>
        <v>707.56000000000574</v>
      </c>
      <c r="D288">
        <f t="shared" si="35"/>
        <v>53.099999999999838</v>
      </c>
      <c r="E288">
        <f t="shared" si="37"/>
        <v>1.9999999999981526</v>
      </c>
      <c r="G288">
        <f t="shared" si="33"/>
        <v>443.33333333333519</v>
      </c>
      <c r="H288">
        <f t="shared" si="36"/>
        <v>16.666666666667187</v>
      </c>
      <c r="I288">
        <f t="shared" si="38"/>
        <v>5.6843418860807207E-12</v>
      </c>
    </row>
    <row r="289" spans="1:9">
      <c r="A289">
        <f t="shared" si="34"/>
        <v>26.700000000000109</v>
      </c>
      <c r="C289">
        <f t="shared" si="32"/>
        <v>712.8900000000059</v>
      </c>
      <c r="D289">
        <f t="shared" si="35"/>
        <v>53.300000000000786</v>
      </c>
      <c r="E289">
        <f t="shared" si="37"/>
        <v>2.0000000000094502</v>
      </c>
      <c r="G289">
        <f t="shared" si="33"/>
        <v>445.00000000000188</v>
      </c>
      <c r="H289">
        <f t="shared" si="36"/>
        <v>16.666666666666618</v>
      </c>
      <c r="I289">
        <f t="shared" si="38"/>
        <v>-5.6843418860807207E-12</v>
      </c>
    </row>
    <row r="290" spans="1:9">
      <c r="A290">
        <f t="shared" si="34"/>
        <v>26.800000000000111</v>
      </c>
      <c r="C290">
        <f t="shared" si="32"/>
        <v>718.24000000000592</v>
      </c>
      <c r="D290">
        <f t="shared" si="35"/>
        <v>53.499999999999467</v>
      </c>
      <c r="E290">
        <f t="shared" si="37"/>
        <v>1.9999999999867839</v>
      </c>
      <c r="G290">
        <f t="shared" si="33"/>
        <v>446.66666666666856</v>
      </c>
      <c r="H290">
        <f t="shared" si="36"/>
        <v>16.666666666666618</v>
      </c>
      <c r="I290">
        <f t="shared" si="38"/>
        <v>0</v>
      </c>
    </row>
    <row r="291" spans="1:9">
      <c r="A291">
        <f t="shared" si="34"/>
        <v>26.900000000000112</v>
      </c>
      <c r="C291">
        <f t="shared" si="32"/>
        <v>723.61000000000604</v>
      </c>
      <c r="D291">
        <f t="shared" si="35"/>
        <v>53.700000000000422</v>
      </c>
      <c r="E291">
        <f t="shared" si="37"/>
        <v>2.0000000000095213</v>
      </c>
      <c r="G291">
        <f t="shared" si="33"/>
        <v>448.33333333333525</v>
      </c>
      <c r="H291">
        <f t="shared" si="36"/>
        <v>16.666666666666618</v>
      </c>
      <c r="I291">
        <f t="shared" si="38"/>
        <v>0</v>
      </c>
    </row>
    <row r="292" spans="1:9">
      <c r="A292">
        <f t="shared" si="34"/>
        <v>27.000000000000114</v>
      </c>
      <c r="C292">
        <f t="shared" si="32"/>
        <v>729.00000000000614</v>
      </c>
      <c r="D292">
        <f t="shared" si="35"/>
        <v>53.900000000000233</v>
      </c>
      <c r="E292">
        <f t="shared" si="37"/>
        <v>1.9999999999980815</v>
      </c>
      <c r="G292">
        <f t="shared" si="33"/>
        <v>450.00000000000193</v>
      </c>
      <c r="H292">
        <f t="shared" si="36"/>
        <v>16.666666666666618</v>
      </c>
      <c r="I292">
        <f t="shared" si="38"/>
        <v>0</v>
      </c>
    </row>
    <row r="293" spans="1:9">
      <c r="A293">
        <f t="shared" si="34"/>
        <v>27.100000000000115</v>
      </c>
      <c r="C293">
        <f t="shared" si="32"/>
        <v>734.41000000000622</v>
      </c>
      <c r="D293">
        <f t="shared" si="35"/>
        <v>54.100000000000051</v>
      </c>
      <c r="E293">
        <f t="shared" si="37"/>
        <v>1.9999999999981526</v>
      </c>
      <c r="G293">
        <f t="shared" si="33"/>
        <v>451.66666666666862</v>
      </c>
      <c r="H293">
        <f t="shared" si="36"/>
        <v>16.666666666666618</v>
      </c>
      <c r="I293">
        <f t="shared" si="38"/>
        <v>0</v>
      </c>
    </row>
    <row r="294" spans="1:9">
      <c r="A294">
        <f t="shared" si="34"/>
        <v>27.200000000000117</v>
      </c>
      <c r="C294">
        <f t="shared" si="32"/>
        <v>739.84000000000628</v>
      </c>
      <c r="D294">
        <f t="shared" si="35"/>
        <v>54.299999999999862</v>
      </c>
      <c r="E294">
        <f t="shared" si="37"/>
        <v>1.9999999999980815</v>
      </c>
      <c r="G294">
        <f t="shared" si="33"/>
        <v>453.3333333333353</v>
      </c>
      <c r="H294">
        <f t="shared" si="36"/>
        <v>16.666666666666618</v>
      </c>
      <c r="I294">
        <f t="shared" si="38"/>
        <v>0</v>
      </c>
    </row>
    <row r="295" spans="1:9">
      <c r="A295">
        <f t="shared" si="34"/>
        <v>27.300000000000118</v>
      </c>
      <c r="C295">
        <f t="shared" si="32"/>
        <v>745.29000000000644</v>
      </c>
      <c r="D295">
        <f t="shared" si="35"/>
        <v>54.500000000000817</v>
      </c>
      <c r="E295">
        <f t="shared" si="37"/>
        <v>2.0000000000095213</v>
      </c>
      <c r="G295">
        <f t="shared" si="33"/>
        <v>455.00000000000199</v>
      </c>
      <c r="H295">
        <f t="shared" si="36"/>
        <v>16.666666666666618</v>
      </c>
      <c r="I295">
        <f t="shared" si="38"/>
        <v>0</v>
      </c>
    </row>
    <row r="296" spans="1:9">
      <c r="A296">
        <f t="shared" si="34"/>
        <v>27.400000000000119</v>
      </c>
      <c r="C296">
        <f t="shared" si="32"/>
        <v>750.76000000000658</v>
      </c>
      <c r="D296">
        <f t="shared" si="35"/>
        <v>54.700000000000635</v>
      </c>
      <c r="E296">
        <f t="shared" si="37"/>
        <v>1.9999999999981526</v>
      </c>
      <c r="G296">
        <f t="shared" si="33"/>
        <v>456.66666666666868</v>
      </c>
      <c r="H296">
        <f t="shared" si="36"/>
        <v>16.666666666666618</v>
      </c>
      <c r="I296">
        <f t="shared" si="38"/>
        <v>0</v>
      </c>
    </row>
    <row r="297" spans="1:9">
      <c r="A297">
        <f t="shared" si="34"/>
        <v>27.500000000000121</v>
      </c>
      <c r="C297">
        <f t="shared" si="32"/>
        <v>756.25000000000659</v>
      </c>
      <c r="D297">
        <f t="shared" si="35"/>
        <v>54.899999999999309</v>
      </c>
      <c r="E297">
        <f t="shared" si="37"/>
        <v>1.9999999999867129</v>
      </c>
      <c r="G297">
        <f t="shared" si="33"/>
        <v>458.33333333333536</v>
      </c>
      <c r="H297">
        <f t="shared" si="36"/>
        <v>16.666666666666618</v>
      </c>
      <c r="I297">
        <f t="shared" si="38"/>
        <v>0</v>
      </c>
    </row>
    <row r="298" spans="1:9">
      <c r="A298">
        <f t="shared" si="34"/>
        <v>27.600000000000122</v>
      </c>
      <c r="C298">
        <f t="shared" si="32"/>
        <v>761.7600000000067</v>
      </c>
      <c r="D298">
        <f t="shared" si="35"/>
        <v>55.100000000000264</v>
      </c>
      <c r="E298">
        <f t="shared" si="37"/>
        <v>2.0000000000095213</v>
      </c>
      <c r="G298">
        <f t="shared" si="33"/>
        <v>460.00000000000205</v>
      </c>
      <c r="H298">
        <f t="shared" si="36"/>
        <v>16.666666666666618</v>
      </c>
      <c r="I298">
        <f t="shared" si="38"/>
        <v>0</v>
      </c>
    </row>
    <row r="299" spans="1:9">
      <c r="A299">
        <f t="shared" si="34"/>
        <v>27.700000000000124</v>
      </c>
      <c r="C299">
        <f t="shared" si="32"/>
        <v>767.2900000000069</v>
      </c>
      <c r="D299">
        <f t="shared" si="35"/>
        <v>55.300000000001212</v>
      </c>
      <c r="E299">
        <f t="shared" si="37"/>
        <v>2.0000000000094502</v>
      </c>
      <c r="G299">
        <f t="shared" si="33"/>
        <v>461.66666666666873</v>
      </c>
      <c r="H299">
        <f t="shared" si="36"/>
        <v>16.666666666666618</v>
      </c>
      <c r="I299">
        <f t="shared" si="38"/>
        <v>0</v>
      </c>
    </row>
    <row r="300" spans="1:9">
      <c r="A300">
        <f t="shared" si="34"/>
        <v>27.800000000000125</v>
      </c>
      <c r="C300">
        <f t="shared" si="32"/>
        <v>772.84000000000697</v>
      </c>
      <c r="D300">
        <f t="shared" si="35"/>
        <v>55.499999999999893</v>
      </c>
      <c r="E300">
        <f t="shared" si="37"/>
        <v>1.9999999999867839</v>
      </c>
      <c r="G300">
        <f t="shared" si="33"/>
        <v>463.33333333333547</v>
      </c>
      <c r="H300">
        <f t="shared" si="36"/>
        <v>16.666666666667187</v>
      </c>
      <c r="I300">
        <f t="shared" si="38"/>
        <v>5.6843418860807207E-12</v>
      </c>
    </row>
    <row r="301" spans="1:9">
      <c r="A301">
        <f t="shared" si="34"/>
        <v>27.900000000000126</v>
      </c>
      <c r="C301">
        <f t="shared" si="32"/>
        <v>778.41000000000702</v>
      </c>
      <c r="D301">
        <f t="shared" si="35"/>
        <v>55.699999999999712</v>
      </c>
      <c r="E301">
        <f t="shared" si="37"/>
        <v>1.9999999999981526</v>
      </c>
      <c r="G301">
        <f t="shared" si="33"/>
        <v>465.00000000000216</v>
      </c>
      <c r="H301">
        <f t="shared" si="36"/>
        <v>16.666666666666618</v>
      </c>
      <c r="I301">
        <f t="shared" si="38"/>
        <v>-5.6843418860807207E-12</v>
      </c>
    </row>
    <row r="302" spans="1:9">
      <c r="A302">
        <f t="shared" si="34"/>
        <v>28.000000000000128</v>
      </c>
      <c r="C302">
        <f t="shared" si="32"/>
        <v>784.00000000000716</v>
      </c>
      <c r="D302">
        <f t="shared" si="35"/>
        <v>55.900000000000659</v>
      </c>
      <c r="E302">
        <f t="shared" si="37"/>
        <v>2.0000000000094502</v>
      </c>
      <c r="G302">
        <f t="shared" si="33"/>
        <v>466.66666666666885</v>
      </c>
      <c r="H302">
        <f t="shared" si="36"/>
        <v>16.666666666666618</v>
      </c>
      <c r="I302">
        <f t="shared" si="38"/>
        <v>0</v>
      </c>
    </row>
    <row r="303" spans="1:9">
      <c r="A303">
        <f t="shared" si="34"/>
        <v>28.100000000000129</v>
      </c>
      <c r="C303">
        <f t="shared" si="32"/>
        <v>789.61000000000729</v>
      </c>
      <c r="D303">
        <f t="shared" si="35"/>
        <v>56.100000000000477</v>
      </c>
      <c r="E303">
        <f t="shared" si="37"/>
        <v>1.9999999999981526</v>
      </c>
      <c r="G303">
        <f t="shared" si="33"/>
        <v>468.33333333333553</v>
      </c>
      <c r="H303">
        <f t="shared" si="36"/>
        <v>16.666666666666618</v>
      </c>
      <c r="I303">
        <f t="shared" si="38"/>
        <v>0</v>
      </c>
    </row>
    <row r="304" spans="1:9">
      <c r="A304">
        <f t="shared" si="34"/>
        <v>28.200000000000131</v>
      </c>
      <c r="C304">
        <f t="shared" si="32"/>
        <v>795.2400000000074</v>
      </c>
      <c r="D304">
        <f t="shared" si="35"/>
        <v>56.300000000000288</v>
      </c>
      <c r="E304">
        <f t="shared" si="37"/>
        <v>1.9999999999980815</v>
      </c>
      <c r="G304">
        <f t="shared" si="33"/>
        <v>470.00000000000222</v>
      </c>
      <c r="H304">
        <f t="shared" si="36"/>
        <v>16.666666666666618</v>
      </c>
      <c r="I304">
        <f t="shared" si="38"/>
        <v>0</v>
      </c>
    </row>
    <row r="305" spans="1:9">
      <c r="A305">
        <f t="shared" si="34"/>
        <v>28.300000000000132</v>
      </c>
      <c r="C305">
        <f t="shared" si="32"/>
        <v>800.89000000000749</v>
      </c>
      <c r="D305">
        <f t="shared" si="35"/>
        <v>56.500000000000107</v>
      </c>
      <c r="E305">
        <f t="shared" si="37"/>
        <v>1.9999999999981526</v>
      </c>
      <c r="G305">
        <f t="shared" si="33"/>
        <v>471.6666666666689</v>
      </c>
      <c r="H305">
        <f t="shared" si="36"/>
        <v>16.666666666666618</v>
      </c>
      <c r="I305">
        <f t="shared" si="38"/>
        <v>0</v>
      </c>
    </row>
    <row r="306" spans="1:9">
      <c r="A306">
        <f t="shared" si="34"/>
        <v>28.400000000000134</v>
      </c>
      <c r="C306">
        <f t="shared" si="32"/>
        <v>806.56000000000756</v>
      </c>
      <c r="D306">
        <f t="shared" si="35"/>
        <v>56.699999999999925</v>
      </c>
      <c r="E306">
        <f t="shared" si="37"/>
        <v>1.9999999999981526</v>
      </c>
      <c r="G306">
        <f t="shared" si="33"/>
        <v>473.33333333333559</v>
      </c>
      <c r="H306">
        <f t="shared" si="36"/>
        <v>16.666666666666618</v>
      </c>
      <c r="I306">
        <f t="shared" si="38"/>
        <v>0</v>
      </c>
    </row>
    <row r="307" spans="1:9">
      <c r="A307">
        <f t="shared" si="34"/>
        <v>28.500000000000135</v>
      </c>
      <c r="C307">
        <f t="shared" si="32"/>
        <v>812.25000000000773</v>
      </c>
      <c r="D307">
        <f t="shared" si="35"/>
        <v>56.900000000000873</v>
      </c>
      <c r="E307">
        <f t="shared" si="37"/>
        <v>2.0000000000094502</v>
      </c>
      <c r="G307">
        <f t="shared" si="33"/>
        <v>475.00000000000227</v>
      </c>
      <c r="H307">
        <f t="shared" si="36"/>
        <v>16.666666666666618</v>
      </c>
      <c r="I307">
        <f t="shared" si="38"/>
        <v>0</v>
      </c>
    </row>
    <row r="308" spans="1:9">
      <c r="A308">
        <f t="shared" si="34"/>
        <v>28.600000000000136</v>
      </c>
      <c r="C308">
        <f t="shared" si="32"/>
        <v>817.96000000000777</v>
      </c>
      <c r="D308">
        <f t="shared" si="35"/>
        <v>57.099999999999554</v>
      </c>
      <c r="E308">
        <f t="shared" si="37"/>
        <v>1.9999999999867839</v>
      </c>
      <c r="G308">
        <f t="shared" si="33"/>
        <v>476.66666666666896</v>
      </c>
      <c r="H308">
        <f t="shared" si="36"/>
        <v>16.666666666666618</v>
      </c>
      <c r="I308">
        <f t="shared" si="38"/>
        <v>0</v>
      </c>
    </row>
    <row r="309" spans="1:9">
      <c r="A309">
        <f t="shared" si="34"/>
        <v>28.700000000000138</v>
      </c>
      <c r="C309">
        <f t="shared" si="32"/>
        <v>823.6900000000079</v>
      </c>
      <c r="D309">
        <f t="shared" si="35"/>
        <v>57.300000000000502</v>
      </c>
      <c r="E309">
        <f t="shared" si="37"/>
        <v>2.0000000000094502</v>
      </c>
      <c r="G309">
        <f t="shared" si="33"/>
        <v>478.33333333333564</v>
      </c>
      <c r="H309">
        <f t="shared" si="36"/>
        <v>16.666666666666618</v>
      </c>
      <c r="I309">
        <f t="shared" si="38"/>
        <v>0</v>
      </c>
    </row>
    <row r="310" spans="1:9">
      <c r="A310">
        <f t="shared" si="34"/>
        <v>28.800000000000139</v>
      </c>
      <c r="C310">
        <f t="shared" si="32"/>
        <v>829.44000000000801</v>
      </c>
      <c r="D310">
        <f t="shared" si="35"/>
        <v>57.50000000000032</v>
      </c>
      <c r="E310">
        <f t="shared" si="37"/>
        <v>1.9999999999981526</v>
      </c>
      <c r="G310">
        <f t="shared" si="33"/>
        <v>480.00000000000233</v>
      </c>
      <c r="H310">
        <f t="shared" si="36"/>
        <v>16.666666666666618</v>
      </c>
      <c r="I310">
        <f t="shared" si="38"/>
        <v>0</v>
      </c>
    </row>
    <row r="311" spans="1:9">
      <c r="A311">
        <f t="shared" si="34"/>
        <v>28.900000000000141</v>
      </c>
      <c r="C311">
        <f t="shared" si="32"/>
        <v>835.21000000000811</v>
      </c>
      <c r="D311">
        <f t="shared" si="35"/>
        <v>57.700000000000138</v>
      </c>
      <c r="E311">
        <f t="shared" si="37"/>
        <v>1.9999999999981526</v>
      </c>
      <c r="G311">
        <f t="shared" si="33"/>
        <v>481.66666666666907</v>
      </c>
      <c r="H311">
        <f t="shared" si="36"/>
        <v>16.666666666667187</v>
      </c>
      <c r="I311">
        <f t="shared" si="38"/>
        <v>5.6843418860807207E-12</v>
      </c>
    </row>
    <row r="312" spans="1:9">
      <c r="A312">
        <f t="shared" si="34"/>
        <v>29.000000000000142</v>
      </c>
      <c r="C312">
        <f t="shared" si="32"/>
        <v>841.00000000000819</v>
      </c>
      <c r="D312">
        <f t="shared" si="35"/>
        <v>57.899999999999949</v>
      </c>
      <c r="E312">
        <f t="shared" si="37"/>
        <v>1.9999999999980815</v>
      </c>
      <c r="G312">
        <f t="shared" si="33"/>
        <v>483.33333333333576</v>
      </c>
      <c r="H312">
        <f t="shared" si="36"/>
        <v>16.666666666666618</v>
      </c>
      <c r="I312">
        <f t="shared" si="38"/>
        <v>-5.6843418860807207E-12</v>
      </c>
    </row>
    <row r="313" spans="1:9">
      <c r="A313">
        <f t="shared" si="34"/>
        <v>29.100000000000144</v>
      </c>
      <c r="C313">
        <f t="shared" si="32"/>
        <v>846.81000000000836</v>
      </c>
      <c r="D313">
        <f t="shared" si="35"/>
        <v>58.100000000000904</v>
      </c>
      <c r="E313">
        <f t="shared" si="37"/>
        <v>2.0000000000095213</v>
      </c>
      <c r="G313">
        <f t="shared" si="33"/>
        <v>485.00000000000244</v>
      </c>
      <c r="H313">
        <f t="shared" si="36"/>
        <v>16.666666666666618</v>
      </c>
      <c r="I313">
        <f t="shared" si="38"/>
        <v>0</v>
      </c>
    </row>
    <row r="314" spans="1:9">
      <c r="A314">
        <f t="shared" si="34"/>
        <v>29.200000000000145</v>
      </c>
      <c r="C314">
        <f t="shared" si="32"/>
        <v>852.64000000000851</v>
      </c>
      <c r="D314">
        <f t="shared" si="35"/>
        <v>58.300000000000715</v>
      </c>
      <c r="E314">
        <f t="shared" si="37"/>
        <v>1.9999999999980815</v>
      </c>
      <c r="G314">
        <f t="shared" si="33"/>
        <v>486.66666666666913</v>
      </c>
      <c r="H314">
        <f t="shared" si="36"/>
        <v>16.666666666666618</v>
      </c>
      <c r="I314">
        <f t="shared" si="38"/>
        <v>0</v>
      </c>
    </row>
    <row r="315" spans="1:9">
      <c r="A315">
        <f t="shared" si="34"/>
        <v>29.300000000000146</v>
      </c>
      <c r="C315">
        <f t="shared" ref="C315:C378" si="39">$D$15+$D$16*A315+($D$17*A315^2)/2</f>
        <v>858.49000000000854</v>
      </c>
      <c r="D315">
        <f t="shared" si="35"/>
        <v>58.499999999999396</v>
      </c>
      <c r="E315">
        <f t="shared" si="37"/>
        <v>1.9999999999867839</v>
      </c>
      <c r="G315">
        <f t="shared" ref="G315:G378" si="40">$H$16+$K$15*A315</f>
        <v>488.33333333333582</v>
      </c>
      <c r="H315">
        <f t="shared" si="36"/>
        <v>16.666666666666618</v>
      </c>
      <c r="I315">
        <f t="shared" si="38"/>
        <v>0</v>
      </c>
    </row>
    <row r="316" spans="1:9">
      <c r="A316">
        <f t="shared" si="34"/>
        <v>29.400000000000148</v>
      </c>
      <c r="C316">
        <f t="shared" si="39"/>
        <v>864.36000000000865</v>
      </c>
      <c r="D316">
        <f t="shared" si="35"/>
        <v>58.700000000000351</v>
      </c>
      <c r="E316">
        <f t="shared" si="37"/>
        <v>2.0000000000095213</v>
      </c>
      <c r="G316">
        <f t="shared" si="40"/>
        <v>490.0000000000025</v>
      </c>
      <c r="H316">
        <f t="shared" si="36"/>
        <v>16.666666666666618</v>
      </c>
      <c r="I316">
        <f t="shared" si="38"/>
        <v>0</v>
      </c>
    </row>
    <row r="317" spans="1:9">
      <c r="A317">
        <f t="shared" si="34"/>
        <v>29.500000000000149</v>
      </c>
      <c r="C317">
        <f t="shared" si="39"/>
        <v>870.25000000000875</v>
      </c>
      <c r="D317">
        <f t="shared" si="35"/>
        <v>58.900000000000162</v>
      </c>
      <c r="E317">
        <f t="shared" si="37"/>
        <v>1.9999999999980815</v>
      </c>
      <c r="G317">
        <f t="shared" si="40"/>
        <v>491.66666666666919</v>
      </c>
      <c r="H317">
        <f t="shared" si="36"/>
        <v>16.666666666666618</v>
      </c>
      <c r="I317">
        <f t="shared" si="38"/>
        <v>0</v>
      </c>
    </row>
    <row r="318" spans="1:9">
      <c r="A318">
        <f t="shared" si="34"/>
        <v>29.600000000000151</v>
      </c>
      <c r="C318">
        <f t="shared" si="39"/>
        <v>876.16000000000895</v>
      </c>
      <c r="D318">
        <f t="shared" si="35"/>
        <v>59.100000000001117</v>
      </c>
      <c r="E318">
        <f t="shared" si="37"/>
        <v>2.0000000000095213</v>
      </c>
      <c r="G318">
        <f t="shared" si="40"/>
        <v>493.33333333333587</v>
      </c>
      <c r="H318">
        <f t="shared" si="36"/>
        <v>16.666666666666618</v>
      </c>
      <c r="I318">
        <f t="shared" si="38"/>
        <v>0</v>
      </c>
    </row>
    <row r="319" spans="1:9">
      <c r="A319">
        <f t="shared" si="34"/>
        <v>29.700000000000152</v>
      </c>
      <c r="C319">
        <f t="shared" si="39"/>
        <v>882.09000000000901</v>
      </c>
      <c r="D319">
        <f t="shared" si="35"/>
        <v>59.299999999999791</v>
      </c>
      <c r="E319">
        <f t="shared" si="37"/>
        <v>1.9999999999867129</v>
      </c>
      <c r="G319">
        <f t="shared" si="40"/>
        <v>495.00000000000256</v>
      </c>
      <c r="H319">
        <f t="shared" si="36"/>
        <v>16.666666666666618</v>
      </c>
      <c r="I319">
        <f t="shared" si="38"/>
        <v>0</v>
      </c>
    </row>
    <row r="320" spans="1:9">
      <c r="A320">
        <f t="shared" si="34"/>
        <v>29.800000000000153</v>
      </c>
      <c r="C320">
        <f t="shared" si="39"/>
        <v>888.04000000000917</v>
      </c>
      <c r="D320">
        <f t="shared" si="35"/>
        <v>59.500000000000746</v>
      </c>
      <c r="E320">
        <f t="shared" si="37"/>
        <v>2.0000000000095213</v>
      </c>
      <c r="G320">
        <f t="shared" si="40"/>
        <v>496.66666666666924</v>
      </c>
      <c r="H320">
        <f t="shared" si="36"/>
        <v>16.666666666666618</v>
      </c>
      <c r="I320">
        <f t="shared" si="38"/>
        <v>0</v>
      </c>
    </row>
    <row r="321" spans="1:9">
      <c r="A321">
        <f t="shared" si="34"/>
        <v>29.900000000000155</v>
      </c>
      <c r="C321">
        <f t="shared" si="39"/>
        <v>894.01000000000931</v>
      </c>
      <c r="D321">
        <f t="shared" si="35"/>
        <v>59.700000000000564</v>
      </c>
      <c r="E321">
        <f t="shared" si="37"/>
        <v>1.9999999999981526</v>
      </c>
      <c r="G321">
        <f t="shared" si="40"/>
        <v>498.33333333333593</v>
      </c>
      <c r="H321">
        <f t="shared" si="36"/>
        <v>16.666666666666618</v>
      </c>
      <c r="I321">
        <f t="shared" si="38"/>
        <v>0</v>
      </c>
    </row>
    <row r="322" spans="1:9">
      <c r="A322">
        <f t="shared" si="34"/>
        <v>30.000000000000156</v>
      </c>
      <c r="C322">
        <f t="shared" si="39"/>
        <v>900.00000000000932</v>
      </c>
      <c r="D322">
        <f t="shared" si="35"/>
        <v>59.899999999999238</v>
      </c>
      <c r="E322">
        <f t="shared" si="37"/>
        <v>1.9999999999867129</v>
      </c>
      <c r="G322">
        <f t="shared" si="40"/>
        <v>500.00000000000261</v>
      </c>
      <c r="H322">
        <f t="shared" si="36"/>
        <v>16.666666666666618</v>
      </c>
      <c r="I322">
        <f t="shared" si="38"/>
        <v>0</v>
      </c>
    </row>
    <row r="323" spans="1:9">
      <c r="A323">
        <f t="shared" si="34"/>
        <v>30.100000000000158</v>
      </c>
      <c r="C323">
        <f t="shared" si="39"/>
        <v>906.01000000000954</v>
      </c>
      <c r="D323">
        <f t="shared" si="35"/>
        <v>60.10000000000133</v>
      </c>
      <c r="E323">
        <f t="shared" si="37"/>
        <v>2.00000000002089</v>
      </c>
      <c r="G323">
        <f t="shared" si="40"/>
        <v>501.66666666666936</v>
      </c>
      <c r="H323">
        <f t="shared" si="36"/>
        <v>16.666666666667187</v>
      </c>
      <c r="I323">
        <f t="shared" si="38"/>
        <v>5.6843418860807207E-12</v>
      </c>
    </row>
    <row r="324" spans="1:9">
      <c r="A324">
        <f t="shared" si="34"/>
        <v>30.200000000000159</v>
      </c>
      <c r="C324">
        <f t="shared" si="39"/>
        <v>912.04000000000963</v>
      </c>
      <c r="D324">
        <f t="shared" si="35"/>
        <v>60.300000000000004</v>
      </c>
      <c r="E324">
        <f t="shared" si="37"/>
        <v>1.9999999999867129</v>
      </c>
      <c r="G324">
        <f t="shared" si="40"/>
        <v>503.33333333333604</v>
      </c>
      <c r="H324">
        <f t="shared" si="36"/>
        <v>16.666666666666618</v>
      </c>
      <c r="I324">
        <f t="shared" si="38"/>
        <v>-5.6843418860807207E-12</v>
      </c>
    </row>
    <row r="325" spans="1:9">
      <c r="A325">
        <f t="shared" si="34"/>
        <v>30.300000000000161</v>
      </c>
      <c r="C325">
        <f t="shared" si="39"/>
        <v>918.0900000000097</v>
      </c>
      <c r="D325">
        <f t="shared" si="35"/>
        <v>60.499999999999822</v>
      </c>
      <c r="E325">
        <f t="shared" si="37"/>
        <v>1.9999999999981526</v>
      </c>
      <c r="G325">
        <f t="shared" si="40"/>
        <v>505.00000000000273</v>
      </c>
      <c r="H325">
        <f t="shared" si="36"/>
        <v>16.666666666666618</v>
      </c>
      <c r="I325">
        <f t="shared" si="38"/>
        <v>0</v>
      </c>
    </row>
    <row r="326" spans="1:9">
      <c r="A326">
        <f t="shared" si="34"/>
        <v>30.400000000000162</v>
      </c>
      <c r="C326">
        <f t="shared" si="39"/>
        <v>924.16000000000986</v>
      </c>
      <c r="D326">
        <f t="shared" si="35"/>
        <v>60.700000000000777</v>
      </c>
      <c r="E326">
        <f t="shared" si="37"/>
        <v>2.0000000000095213</v>
      </c>
      <c r="G326">
        <f t="shared" si="40"/>
        <v>506.66666666666941</v>
      </c>
      <c r="H326">
        <f t="shared" si="36"/>
        <v>16.666666666666618</v>
      </c>
      <c r="I326">
        <f t="shared" si="38"/>
        <v>0</v>
      </c>
    </row>
    <row r="327" spans="1:9">
      <c r="A327">
        <f t="shared" si="34"/>
        <v>30.500000000000163</v>
      </c>
      <c r="C327">
        <f t="shared" si="39"/>
        <v>930.25000000001</v>
      </c>
      <c r="D327">
        <f t="shared" si="35"/>
        <v>60.900000000000588</v>
      </c>
      <c r="E327">
        <f t="shared" si="37"/>
        <v>1.9999999999980815</v>
      </c>
      <c r="G327">
        <f t="shared" si="40"/>
        <v>508.3333333333361</v>
      </c>
      <c r="H327">
        <f t="shared" si="36"/>
        <v>16.666666666666618</v>
      </c>
      <c r="I327">
        <f t="shared" si="38"/>
        <v>0</v>
      </c>
    </row>
    <row r="328" spans="1:9">
      <c r="A328">
        <f t="shared" si="34"/>
        <v>30.600000000000165</v>
      </c>
      <c r="C328">
        <f t="shared" si="39"/>
        <v>936.36000000001013</v>
      </c>
      <c r="D328">
        <f t="shared" si="35"/>
        <v>61.100000000000406</v>
      </c>
      <c r="E328">
        <f t="shared" si="37"/>
        <v>1.9999999999981526</v>
      </c>
      <c r="G328">
        <f t="shared" si="40"/>
        <v>510.00000000000279</v>
      </c>
      <c r="H328">
        <f t="shared" si="36"/>
        <v>16.666666666666618</v>
      </c>
      <c r="I328">
        <f t="shared" si="38"/>
        <v>0</v>
      </c>
    </row>
    <row r="329" spans="1:9">
      <c r="A329">
        <f t="shared" si="34"/>
        <v>30.700000000000166</v>
      </c>
      <c r="C329">
        <f t="shared" si="39"/>
        <v>942.49000000001024</v>
      </c>
      <c r="D329">
        <f t="shared" si="35"/>
        <v>61.300000000000217</v>
      </c>
      <c r="E329">
        <f t="shared" si="37"/>
        <v>1.9999999999980815</v>
      </c>
      <c r="G329">
        <f t="shared" si="40"/>
        <v>511.66666666666947</v>
      </c>
      <c r="H329">
        <f t="shared" si="36"/>
        <v>16.666666666666618</v>
      </c>
      <c r="I329">
        <f t="shared" si="38"/>
        <v>0</v>
      </c>
    </row>
    <row r="330" spans="1:9">
      <c r="A330">
        <f t="shared" si="34"/>
        <v>30.800000000000168</v>
      </c>
      <c r="C330">
        <f t="shared" si="39"/>
        <v>948.64000000001033</v>
      </c>
      <c r="D330">
        <f t="shared" si="35"/>
        <v>61.500000000000036</v>
      </c>
      <c r="E330">
        <f t="shared" si="37"/>
        <v>1.9999999999981526</v>
      </c>
      <c r="G330">
        <f t="shared" si="40"/>
        <v>513.33333333333621</v>
      </c>
      <c r="H330">
        <f t="shared" si="36"/>
        <v>16.666666666667187</v>
      </c>
      <c r="I330">
        <f t="shared" si="38"/>
        <v>5.6843418860807207E-12</v>
      </c>
    </row>
    <row r="331" spans="1:9">
      <c r="A331">
        <f t="shared" si="34"/>
        <v>30.900000000000169</v>
      </c>
      <c r="C331">
        <f t="shared" si="39"/>
        <v>954.8100000000104</v>
      </c>
      <c r="D331">
        <f t="shared" si="35"/>
        <v>61.699999999999854</v>
      </c>
      <c r="E331">
        <f t="shared" si="37"/>
        <v>1.9999999999981526</v>
      </c>
      <c r="G331">
        <f t="shared" si="40"/>
        <v>515.00000000000284</v>
      </c>
      <c r="H331">
        <f t="shared" si="36"/>
        <v>16.66666666666605</v>
      </c>
      <c r="I331">
        <f t="shared" si="38"/>
        <v>-1.1368683772161441E-11</v>
      </c>
    </row>
    <row r="332" spans="1:9">
      <c r="A332">
        <f t="shared" si="34"/>
        <v>31.000000000000171</v>
      </c>
      <c r="C332">
        <f t="shared" si="39"/>
        <v>961.00000000001057</v>
      </c>
      <c r="D332">
        <f t="shared" si="35"/>
        <v>61.900000000000801</v>
      </c>
      <c r="E332">
        <f t="shared" si="37"/>
        <v>2.0000000000094502</v>
      </c>
      <c r="G332">
        <f t="shared" si="40"/>
        <v>516.66666666666958</v>
      </c>
      <c r="H332">
        <f t="shared" si="36"/>
        <v>16.666666666667187</v>
      </c>
      <c r="I332">
        <f t="shared" si="38"/>
        <v>1.1368683772161441E-11</v>
      </c>
    </row>
    <row r="333" spans="1:9">
      <c r="A333">
        <f t="shared" si="34"/>
        <v>31.100000000000172</v>
      </c>
      <c r="C333">
        <f t="shared" si="39"/>
        <v>967.21000000001072</v>
      </c>
      <c r="D333">
        <f t="shared" si="35"/>
        <v>62.10000000000062</v>
      </c>
      <c r="E333">
        <f t="shared" si="37"/>
        <v>1.9999999999981526</v>
      </c>
      <c r="G333">
        <f t="shared" si="40"/>
        <v>518.33333333333621</v>
      </c>
      <c r="H333">
        <f t="shared" si="36"/>
        <v>16.66666666666605</v>
      </c>
      <c r="I333">
        <f t="shared" si="38"/>
        <v>-1.1368683772161441E-11</v>
      </c>
    </row>
    <row r="334" spans="1:9">
      <c r="A334">
        <f t="shared" ref="A334:A397" si="41">A333+$B$20</f>
        <v>31.200000000000173</v>
      </c>
      <c r="C334">
        <f t="shared" si="39"/>
        <v>973.44000000001085</v>
      </c>
      <c r="D334">
        <f t="shared" si="35"/>
        <v>62.300000000000431</v>
      </c>
      <c r="E334">
        <f t="shared" si="37"/>
        <v>1.9999999999980815</v>
      </c>
      <c r="G334">
        <f t="shared" si="40"/>
        <v>520.00000000000296</v>
      </c>
      <c r="H334">
        <f t="shared" si="36"/>
        <v>16.666666666667187</v>
      </c>
      <c r="I334">
        <f t="shared" si="38"/>
        <v>1.1368683772161441E-11</v>
      </c>
    </row>
    <row r="335" spans="1:9">
      <c r="A335">
        <f t="shared" si="41"/>
        <v>31.300000000000175</v>
      </c>
      <c r="C335">
        <f t="shared" si="39"/>
        <v>979.69000000001097</v>
      </c>
      <c r="D335">
        <f t="shared" si="35"/>
        <v>62.500000000000249</v>
      </c>
      <c r="E335">
        <f t="shared" si="37"/>
        <v>1.9999999999981526</v>
      </c>
      <c r="G335">
        <f t="shared" si="40"/>
        <v>521.66666666666958</v>
      </c>
      <c r="H335">
        <f t="shared" si="36"/>
        <v>16.66666666666605</v>
      </c>
      <c r="I335">
        <f t="shared" si="38"/>
        <v>-1.1368683772161441E-11</v>
      </c>
    </row>
    <row r="336" spans="1:9">
      <c r="A336">
        <f t="shared" si="41"/>
        <v>31.400000000000176</v>
      </c>
      <c r="C336">
        <f t="shared" si="39"/>
        <v>985.96000000001106</v>
      </c>
      <c r="D336">
        <f t="shared" si="35"/>
        <v>62.700000000000067</v>
      </c>
      <c r="E336">
        <f t="shared" si="37"/>
        <v>1.9999999999981526</v>
      </c>
      <c r="G336">
        <f t="shared" si="40"/>
        <v>523.33333333333633</v>
      </c>
      <c r="H336">
        <f t="shared" si="36"/>
        <v>16.666666666667187</v>
      </c>
      <c r="I336">
        <f t="shared" si="38"/>
        <v>1.1368683772161441E-11</v>
      </c>
    </row>
    <row r="337" spans="1:9">
      <c r="A337">
        <f t="shared" si="41"/>
        <v>31.500000000000178</v>
      </c>
      <c r="C337">
        <f t="shared" si="39"/>
        <v>992.25000000001114</v>
      </c>
      <c r="D337">
        <f t="shared" si="35"/>
        <v>62.899999999999878</v>
      </c>
      <c r="E337">
        <f t="shared" si="37"/>
        <v>1.9999999999980815</v>
      </c>
      <c r="G337">
        <f t="shared" si="40"/>
        <v>525.00000000000296</v>
      </c>
      <c r="H337">
        <f t="shared" si="36"/>
        <v>16.66666666666605</v>
      </c>
      <c r="I337">
        <f t="shared" si="38"/>
        <v>-1.1368683772161441E-11</v>
      </c>
    </row>
    <row r="338" spans="1:9">
      <c r="A338">
        <f t="shared" si="41"/>
        <v>31.600000000000179</v>
      </c>
      <c r="C338">
        <f t="shared" si="39"/>
        <v>998.56000000001131</v>
      </c>
      <c r="D338">
        <f t="shared" si="35"/>
        <v>63.100000000000833</v>
      </c>
      <c r="E338">
        <f t="shared" si="37"/>
        <v>2.0000000000095213</v>
      </c>
      <c r="G338">
        <f t="shared" si="40"/>
        <v>526.6666666666697</v>
      </c>
      <c r="H338">
        <f t="shared" si="36"/>
        <v>16.666666666667187</v>
      </c>
      <c r="I338">
        <f t="shared" si="38"/>
        <v>1.1368683772161441E-11</v>
      </c>
    </row>
    <row r="339" spans="1:9">
      <c r="A339">
        <f t="shared" si="41"/>
        <v>31.70000000000018</v>
      </c>
      <c r="C339">
        <f t="shared" si="39"/>
        <v>1004.8900000000115</v>
      </c>
      <c r="D339">
        <f t="shared" si="35"/>
        <v>63.300000000000644</v>
      </c>
      <c r="E339">
        <f t="shared" si="37"/>
        <v>1.9999999999980815</v>
      </c>
      <c r="G339">
        <f t="shared" si="40"/>
        <v>528.33333333333633</v>
      </c>
      <c r="H339">
        <f t="shared" si="36"/>
        <v>16.66666666666605</v>
      </c>
      <c r="I339">
        <f t="shared" si="38"/>
        <v>-1.1368683772161441E-11</v>
      </c>
    </row>
    <row r="340" spans="1:9">
      <c r="A340">
        <f t="shared" si="41"/>
        <v>31.800000000000182</v>
      </c>
      <c r="C340">
        <f t="shared" si="39"/>
        <v>1011.2400000000116</v>
      </c>
      <c r="D340">
        <f t="shared" si="35"/>
        <v>63.500000000000462</v>
      </c>
      <c r="E340">
        <f t="shared" si="37"/>
        <v>1.9999999999981526</v>
      </c>
      <c r="G340">
        <f t="shared" si="40"/>
        <v>530.00000000000307</v>
      </c>
      <c r="H340">
        <f t="shared" si="36"/>
        <v>16.666666666667187</v>
      </c>
      <c r="I340">
        <f t="shared" si="38"/>
        <v>1.1368683772161441E-11</v>
      </c>
    </row>
    <row r="341" spans="1:9">
      <c r="A341">
        <f t="shared" si="41"/>
        <v>31.900000000000183</v>
      </c>
      <c r="C341">
        <f t="shared" si="39"/>
        <v>1017.6100000000117</v>
      </c>
      <c r="D341">
        <f t="shared" si="35"/>
        <v>63.70000000000028</v>
      </c>
      <c r="E341">
        <f t="shared" si="37"/>
        <v>1.9999999999981526</v>
      </c>
      <c r="G341">
        <f t="shared" si="40"/>
        <v>531.66666666666981</v>
      </c>
      <c r="H341">
        <f t="shared" si="36"/>
        <v>16.666666666667187</v>
      </c>
      <c r="I341">
        <f t="shared" si="38"/>
        <v>0</v>
      </c>
    </row>
    <row r="342" spans="1:9">
      <c r="A342">
        <f t="shared" si="41"/>
        <v>32.000000000000185</v>
      </c>
      <c r="C342">
        <f t="shared" si="39"/>
        <v>1024.0000000000118</v>
      </c>
      <c r="D342">
        <f t="shared" si="35"/>
        <v>63.900000000000091</v>
      </c>
      <c r="E342">
        <f t="shared" si="37"/>
        <v>1.9999999999980815</v>
      </c>
      <c r="G342">
        <f t="shared" si="40"/>
        <v>533.33333333333644</v>
      </c>
      <c r="H342">
        <f t="shared" si="36"/>
        <v>16.66666666666605</v>
      </c>
      <c r="I342">
        <f t="shared" si="38"/>
        <v>-1.1368683772161441E-11</v>
      </c>
    </row>
    <row r="343" spans="1:9">
      <c r="A343">
        <f t="shared" si="41"/>
        <v>32.100000000000186</v>
      </c>
      <c r="C343">
        <f t="shared" si="39"/>
        <v>1030.4100000000119</v>
      </c>
      <c r="D343">
        <f t="shared" si="35"/>
        <v>64.099999999999909</v>
      </c>
      <c r="E343">
        <f t="shared" si="37"/>
        <v>1.9999999999981526</v>
      </c>
      <c r="G343">
        <f t="shared" si="40"/>
        <v>535.00000000000318</v>
      </c>
      <c r="H343">
        <f t="shared" si="36"/>
        <v>16.666666666667187</v>
      </c>
      <c r="I343">
        <f t="shared" si="38"/>
        <v>1.1368683772161441E-11</v>
      </c>
    </row>
    <row r="344" spans="1:9">
      <c r="A344">
        <f t="shared" si="41"/>
        <v>32.200000000000188</v>
      </c>
      <c r="C344">
        <f t="shared" si="39"/>
        <v>1036.840000000012</v>
      </c>
      <c r="D344">
        <f t="shared" ref="D344:D407" si="42">(C344-C343)/(A344-A343)</f>
        <v>64.299999999999727</v>
      </c>
      <c r="E344">
        <f t="shared" si="37"/>
        <v>1.9999999999981526</v>
      </c>
      <c r="G344">
        <f t="shared" si="40"/>
        <v>536.66666666666981</v>
      </c>
      <c r="H344">
        <f t="shared" ref="H344:H407" si="43">(G344-G343)/(A344-A343)</f>
        <v>16.66666666666605</v>
      </c>
      <c r="I344">
        <f t="shared" si="38"/>
        <v>-1.1368683772161441E-11</v>
      </c>
    </row>
    <row r="345" spans="1:9">
      <c r="A345">
        <f t="shared" si="41"/>
        <v>32.300000000000189</v>
      </c>
      <c r="C345">
        <f t="shared" si="39"/>
        <v>1043.2900000000122</v>
      </c>
      <c r="D345">
        <f t="shared" si="42"/>
        <v>64.500000000001819</v>
      </c>
      <c r="E345">
        <f t="shared" ref="E345:E408" si="44">(D345-D344)/(A345-A344)</f>
        <v>2.00000000002089</v>
      </c>
      <c r="G345">
        <f t="shared" si="40"/>
        <v>538.33333333333655</v>
      </c>
      <c r="H345">
        <f t="shared" si="43"/>
        <v>16.666666666667187</v>
      </c>
      <c r="I345">
        <f t="shared" si="38"/>
        <v>1.1368683772161441E-11</v>
      </c>
    </row>
    <row r="346" spans="1:9">
      <c r="A346">
        <f t="shared" si="41"/>
        <v>32.40000000000019</v>
      </c>
      <c r="C346">
        <f t="shared" si="39"/>
        <v>1049.7600000000123</v>
      </c>
      <c r="D346">
        <f t="shared" si="42"/>
        <v>64.699999999999349</v>
      </c>
      <c r="E346">
        <f t="shared" si="44"/>
        <v>1.9999999999752731</v>
      </c>
      <c r="G346">
        <f t="shared" si="40"/>
        <v>540.00000000000318</v>
      </c>
      <c r="H346">
        <f t="shared" si="43"/>
        <v>16.66666666666605</v>
      </c>
      <c r="I346">
        <f t="shared" si="38"/>
        <v>-1.1368683772161441E-11</v>
      </c>
    </row>
    <row r="347" spans="1:9">
      <c r="A347">
        <f t="shared" si="41"/>
        <v>32.500000000000192</v>
      </c>
      <c r="C347">
        <f t="shared" si="39"/>
        <v>1056.2500000000125</v>
      </c>
      <c r="D347">
        <f t="shared" si="42"/>
        <v>64.900000000001441</v>
      </c>
      <c r="E347">
        <f t="shared" si="44"/>
        <v>2.00000000002089</v>
      </c>
      <c r="G347">
        <f t="shared" si="40"/>
        <v>541.66666666666993</v>
      </c>
      <c r="H347">
        <f t="shared" si="43"/>
        <v>16.666666666667187</v>
      </c>
      <c r="I347">
        <f t="shared" ref="I347:I410" si="45">(H347-H346)/(A347-A346)</f>
        <v>1.1368683772161441E-11</v>
      </c>
    </row>
    <row r="348" spans="1:9">
      <c r="A348">
        <f t="shared" si="41"/>
        <v>32.600000000000193</v>
      </c>
      <c r="C348">
        <f t="shared" si="39"/>
        <v>1062.7600000000125</v>
      </c>
      <c r="D348">
        <f t="shared" si="42"/>
        <v>65.099999999998985</v>
      </c>
      <c r="E348">
        <f t="shared" si="44"/>
        <v>1.9999999999754152</v>
      </c>
      <c r="G348">
        <f t="shared" si="40"/>
        <v>543.33333333333655</v>
      </c>
      <c r="H348">
        <f t="shared" si="43"/>
        <v>16.66666666666605</v>
      </c>
      <c r="I348">
        <f t="shared" si="45"/>
        <v>-1.1368683772161441E-11</v>
      </c>
    </row>
    <row r="349" spans="1:9">
      <c r="A349">
        <f t="shared" si="41"/>
        <v>32.700000000000195</v>
      </c>
      <c r="C349">
        <f t="shared" si="39"/>
        <v>1069.2900000000127</v>
      </c>
      <c r="D349">
        <f t="shared" si="42"/>
        <v>65.300000000001077</v>
      </c>
      <c r="E349">
        <f t="shared" si="44"/>
        <v>2.00000000002089</v>
      </c>
      <c r="G349">
        <f t="shared" si="40"/>
        <v>545.0000000000033</v>
      </c>
      <c r="H349">
        <f t="shared" si="43"/>
        <v>16.666666666667187</v>
      </c>
      <c r="I349">
        <f t="shared" si="45"/>
        <v>1.1368683772161441E-11</v>
      </c>
    </row>
    <row r="350" spans="1:9">
      <c r="A350">
        <f t="shared" si="41"/>
        <v>32.800000000000196</v>
      </c>
      <c r="C350">
        <f t="shared" si="39"/>
        <v>1075.8400000000129</v>
      </c>
      <c r="D350">
        <f t="shared" si="42"/>
        <v>65.500000000000881</v>
      </c>
      <c r="E350">
        <f t="shared" si="44"/>
        <v>1.9999999999980105</v>
      </c>
      <c r="G350">
        <f t="shared" si="40"/>
        <v>546.66666666666993</v>
      </c>
      <c r="H350">
        <f t="shared" si="43"/>
        <v>16.66666666666605</v>
      </c>
      <c r="I350">
        <f t="shared" si="45"/>
        <v>-1.1368683772161441E-11</v>
      </c>
    </row>
    <row r="351" spans="1:9">
      <c r="A351">
        <f t="shared" si="41"/>
        <v>32.900000000000198</v>
      </c>
      <c r="C351">
        <f t="shared" si="39"/>
        <v>1082.410000000013</v>
      </c>
      <c r="D351">
        <f t="shared" si="42"/>
        <v>65.700000000000699</v>
      </c>
      <c r="E351">
        <f t="shared" si="44"/>
        <v>1.9999999999981526</v>
      </c>
      <c r="G351">
        <f t="shared" si="40"/>
        <v>548.33333333333667</v>
      </c>
      <c r="H351">
        <f t="shared" si="43"/>
        <v>16.666666666667187</v>
      </c>
      <c r="I351">
        <f t="shared" si="45"/>
        <v>1.1368683772161441E-11</v>
      </c>
    </row>
    <row r="352" spans="1:9">
      <c r="A352">
        <f t="shared" si="41"/>
        <v>33.000000000000199</v>
      </c>
      <c r="C352">
        <f t="shared" si="39"/>
        <v>1089.0000000000132</v>
      </c>
      <c r="D352">
        <f t="shared" si="42"/>
        <v>65.900000000000517</v>
      </c>
      <c r="E352">
        <f t="shared" si="44"/>
        <v>1.9999999999981526</v>
      </c>
      <c r="G352">
        <f t="shared" si="40"/>
        <v>550.00000000000341</v>
      </c>
      <c r="H352">
        <f t="shared" si="43"/>
        <v>16.666666666667187</v>
      </c>
      <c r="I352">
        <f t="shared" si="45"/>
        <v>0</v>
      </c>
    </row>
    <row r="353" spans="1:9">
      <c r="A353">
        <f t="shared" si="41"/>
        <v>33.1000000000002</v>
      </c>
      <c r="C353">
        <f t="shared" si="39"/>
        <v>1095.6100000000133</v>
      </c>
      <c r="D353">
        <f t="shared" si="42"/>
        <v>66.100000000000335</v>
      </c>
      <c r="E353">
        <f t="shared" si="44"/>
        <v>1.9999999999981526</v>
      </c>
      <c r="G353">
        <f t="shared" si="40"/>
        <v>551.66666666667004</v>
      </c>
      <c r="H353">
        <f t="shared" si="43"/>
        <v>16.66666666666605</v>
      </c>
      <c r="I353">
        <f t="shared" si="45"/>
        <v>-1.1368683772161441E-11</v>
      </c>
    </row>
    <row r="354" spans="1:9">
      <c r="A354">
        <f t="shared" si="41"/>
        <v>33.200000000000202</v>
      </c>
      <c r="C354">
        <f t="shared" si="39"/>
        <v>1102.2400000000134</v>
      </c>
      <c r="D354">
        <f t="shared" si="42"/>
        <v>66.300000000000153</v>
      </c>
      <c r="E354">
        <f t="shared" si="44"/>
        <v>1.9999999999981526</v>
      </c>
      <c r="G354">
        <f t="shared" si="40"/>
        <v>553.33333333333678</v>
      </c>
      <c r="H354">
        <f t="shared" si="43"/>
        <v>16.666666666667187</v>
      </c>
      <c r="I354">
        <f t="shared" si="45"/>
        <v>1.1368683772161441E-11</v>
      </c>
    </row>
    <row r="355" spans="1:9">
      <c r="A355">
        <f t="shared" si="41"/>
        <v>33.300000000000203</v>
      </c>
      <c r="C355">
        <f t="shared" si="39"/>
        <v>1108.8900000000135</v>
      </c>
      <c r="D355">
        <f t="shared" si="42"/>
        <v>66.499999999999972</v>
      </c>
      <c r="E355">
        <f t="shared" si="44"/>
        <v>1.9999999999981526</v>
      </c>
      <c r="G355">
        <f t="shared" si="40"/>
        <v>555.00000000000341</v>
      </c>
      <c r="H355">
        <f t="shared" si="43"/>
        <v>16.66666666666605</v>
      </c>
      <c r="I355">
        <f t="shared" si="45"/>
        <v>-1.1368683772161441E-11</v>
      </c>
    </row>
    <row r="356" spans="1:9">
      <c r="A356">
        <f t="shared" si="41"/>
        <v>33.400000000000205</v>
      </c>
      <c r="C356">
        <f t="shared" si="39"/>
        <v>1115.5600000000136</v>
      </c>
      <c r="D356">
        <f t="shared" si="42"/>
        <v>66.699999999999775</v>
      </c>
      <c r="E356">
        <f t="shared" si="44"/>
        <v>1.9999999999980105</v>
      </c>
      <c r="G356">
        <f t="shared" si="40"/>
        <v>556.66666666667015</v>
      </c>
      <c r="H356">
        <f t="shared" si="43"/>
        <v>16.666666666667187</v>
      </c>
      <c r="I356">
        <f t="shared" si="45"/>
        <v>1.1368683772161441E-11</v>
      </c>
    </row>
    <row r="357" spans="1:9">
      <c r="A357">
        <f t="shared" si="41"/>
        <v>33.500000000000206</v>
      </c>
      <c r="C357">
        <f t="shared" si="39"/>
        <v>1122.2500000000139</v>
      </c>
      <c r="D357">
        <f t="shared" si="42"/>
        <v>66.900000000001867</v>
      </c>
      <c r="E357">
        <f t="shared" si="44"/>
        <v>2.00000000002089</v>
      </c>
      <c r="G357">
        <f t="shared" si="40"/>
        <v>558.33333333333678</v>
      </c>
      <c r="H357">
        <f t="shared" si="43"/>
        <v>16.66666666666605</v>
      </c>
      <c r="I357">
        <f t="shared" si="45"/>
        <v>-1.1368683772161441E-11</v>
      </c>
    </row>
    <row r="358" spans="1:9">
      <c r="A358">
        <f t="shared" si="41"/>
        <v>33.600000000000207</v>
      </c>
      <c r="C358">
        <f t="shared" si="39"/>
        <v>1128.9600000000139</v>
      </c>
      <c r="D358">
        <f t="shared" si="42"/>
        <v>67.099999999999412</v>
      </c>
      <c r="E358">
        <f t="shared" si="44"/>
        <v>1.9999999999754152</v>
      </c>
      <c r="G358">
        <f t="shared" si="40"/>
        <v>560.00000000000352</v>
      </c>
      <c r="H358">
        <f t="shared" si="43"/>
        <v>16.666666666667187</v>
      </c>
      <c r="I358">
        <f t="shared" si="45"/>
        <v>1.1368683772161441E-11</v>
      </c>
    </row>
    <row r="359" spans="1:9">
      <c r="A359">
        <f t="shared" si="41"/>
        <v>33.700000000000209</v>
      </c>
      <c r="C359">
        <f t="shared" si="39"/>
        <v>1135.6900000000142</v>
      </c>
      <c r="D359">
        <f t="shared" si="42"/>
        <v>67.300000000001504</v>
      </c>
      <c r="E359">
        <f t="shared" si="44"/>
        <v>2.00000000002089</v>
      </c>
      <c r="G359">
        <f t="shared" si="40"/>
        <v>561.66666666667015</v>
      </c>
      <c r="H359">
        <f t="shared" si="43"/>
        <v>16.66666666666605</v>
      </c>
      <c r="I359">
        <f t="shared" si="45"/>
        <v>-1.1368683772161441E-11</v>
      </c>
    </row>
    <row r="360" spans="1:9">
      <c r="A360">
        <f t="shared" si="41"/>
        <v>33.80000000000021</v>
      </c>
      <c r="C360">
        <f t="shared" si="39"/>
        <v>1142.4400000000142</v>
      </c>
      <c r="D360">
        <f t="shared" si="42"/>
        <v>67.499999999999034</v>
      </c>
      <c r="E360">
        <f t="shared" si="44"/>
        <v>1.9999999999752731</v>
      </c>
      <c r="G360">
        <f t="shared" si="40"/>
        <v>563.3333333333369</v>
      </c>
      <c r="H360">
        <f t="shared" si="43"/>
        <v>16.666666666667187</v>
      </c>
      <c r="I360">
        <f t="shared" si="45"/>
        <v>1.1368683772161441E-11</v>
      </c>
    </row>
    <row r="361" spans="1:9">
      <c r="A361">
        <f t="shared" si="41"/>
        <v>33.900000000000212</v>
      </c>
      <c r="C361">
        <f t="shared" si="39"/>
        <v>1149.2100000000144</v>
      </c>
      <c r="D361">
        <f t="shared" si="42"/>
        <v>67.700000000001125</v>
      </c>
      <c r="E361">
        <f t="shared" si="44"/>
        <v>2.00000000002089</v>
      </c>
      <c r="G361">
        <f t="shared" si="40"/>
        <v>565.00000000000352</v>
      </c>
      <c r="H361">
        <f t="shared" si="43"/>
        <v>16.66666666666605</v>
      </c>
      <c r="I361">
        <f t="shared" si="45"/>
        <v>-1.1368683772161441E-11</v>
      </c>
    </row>
    <row r="362" spans="1:9">
      <c r="A362">
        <f t="shared" si="41"/>
        <v>34.000000000000213</v>
      </c>
      <c r="C362">
        <f t="shared" si="39"/>
        <v>1156.0000000000146</v>
      </c>
      <c r="D362">
        <f t="shared" si="42"/>
        <v>67.900000000000944</v>
      </c>
      <c r="E362">
        <f t="shared" si="44"/>
        <v>1.9999999999981526</v>
      </c>
      <c r="G362">
        <f t="shared" si="40"/>
        <v>566.66666666667027</v>
      </c>
      <c r="H362">
        <f t="shared" si="43"/>
        <v>16.666666666667187</v>
      </c>
      <c r="I362">
        <f t="shared" si="45"/>
        <v>1.1368683772161441E-11</v>
      </c>
    </row>
    <row r="363" spans="1:9">
      <c r="A363">
        <f t="shared" si="41"/>
        <v>34.100000000000215</v>
      </c>
      <c r="C363">
        <f t="shared" si="39"/>
        <v>1162.8100000000147</v>
      </c>
      <c r="D363">
        <f t="shared" si="42"/>
        <v>68.100000000000762</v>
      </c>
      <c r="E363">
        <f t="shared" si="44"/>
        <v>1.9999999999981526</v>
      </c>
      <c r="G363">
        <f t="shared" si="40"/>
        <v>568.3333333333369</v>
      </c>
      <c r="H363">
        <f t="shared" si="43"/>
        <v>16.66666666666605</v>
      </c>
      <c r="I363">
        <f t="shared" si="45"/>
        <v>-1.1368683772161441E-11</v>
      </c>
    </row>
    <row r="364" spans="1:9">
      <c r="A364">
        <f t="shared" si="41"/>
        <v>34.200000000000216</v>
      </c>
      <c r="C364">
        <f t="shared" si="39"/>
        <v>1169.6400000000149</v>
      </c>
      <c r="D364">
        <f t="shared" si="42"/>
        <v>68.30000000000058</v>
      </c>
      <c r="E364">
        <f t="shared" si="44"/>
        <v>1.9999999999981526</v>
      </c>
      <c r="G364">
        <f t="shared" si="40"/>
        <v>570.00000000000364</v>
      </c>
      <c r="H364">
        <f t="shared" si="43"/>
        <v>16.666666666667187</v>
      </c>
      <c r="I364">
        <f t="shared" si="45"/>
        <v>1.1368683772161441E-11</v>
      </c>
    </row>
    <row r="365" spans="1:9">
      <c r="A365">
        <f t="shared" si="41"/>
        <v>34.300000000000217</v>
      </c>
      <c r="C365">
        <f t="shared" si="39"/>
        <v>1176.490000000015</v>
      </c>
      <c r="D365">
        <f t="shared" si="42"/>
        <v>68.500000000000398</v>
      </c>
      <c r="E365">
        <f t="shared" si="44"/>
        <v>1.9999999999981526</v>
      </c>
      <c r="G365">
        <f t="shared" si="40"/>
        <v>571.66666666667038</v>
      </c>
      <c r="H365">
        <f t="shared" si="43"/>
        <v>16.666666666667187</v>
      </c>
      <c r="I365">
        <f t="shared" si="45"/>
        <v>0</v>
      </c>
    </row>
    <row r="366" spans="1:9">
      <c r="A366">
        <f t="shared" si="41"/>
        <v>34.400000000000219</v>
      </c>
      <c r="C366">
        <f t="shared" si="39"/>
        <v>1183.3600000000151</v>
      </c>
      <c r="D366">
        <f t="shared" si="42"/>
        <v>68.700000000000202</v>
      </c>
      <c r="E366">
        <f t="shared" si="44"/>
        <v>1.9999999999980105</v>
      </c>
      <c r="G366">
        <f t="shared" si="40"/>
        <v>573.33333333333701</v>
      </c>
      <c r="H366">
        <f t="shared" si="43"/>
        <v>16.66666666666605</v>
      </c>
      <c r="I366">
        <f t="shared" si="45"/>
        <v>-1.1368683772161441E-11</v>
      </c>
    </row>
    <row r="367" spans="1:9">
      <c r="A367">
        <f t="shared" si="41"/>
        <v>34.50000000000022</v>
      </c>
      <c r="C367">
        <f t="shared" si="39"/>
        <v>1190.2500000000152</v>
      </c>
      <c r="D367">
        <f t="shared" si="42"/>
        <v>68.90000000000002</v>
      </c>
      <c r="E367">
        <f t="shared" si="44"/>
        <v>1.9999999999981526</v>
      </c>
      <c r="G367">
        <f t="shared" si="40"/>
        <v>575.00000000000375</v>
      </c>
      <c r="H367">
        <f t="shared" si="43"/>
        <v>16.666666666667187</v>
      </c>
      <c r="I367">
        <f t="shared" si="45"/>
        <v>1.1368683772161441E-11</v>
      </c>
    </row>
    <row r="368" spans="1:9">
      <c r="A368">
        <f t="shared" si="41"/>
        <v>34.600000000000222</v>
      </c>
      <c r="C368">
        <f t="shared" si="39"/>
        <v>1197.1600000000153</v>
      </c>
      <c r="D368">
        <f t="shared" si="42"/>
        <v>69.099999999999838</v>
      </c>
      <c r="E368">
        <f t="shared" si="44"/>
        <v>1.9999999999981526</v>
      </c>
      <c r="G368">
        <f t="shared" si="40"/>
        <v>576.66666666667038</v>
      </c>
      <c r="H368">
        <f t="shared" si="43"/>
        <v>16.66666666666605</v>
      </c>
      <c r="I368">
        <f t="shared" si="45"/>
        <v>-1.1368683772161441E-11</v>
      </c>
    </row>
    <row r="369" spans="1:9">
      <c r="A369">
        <f t="shared" si="41"/>
        <v>34.700000000000223</v>
      </c>
      <c r="C369">
        <f t="shared" si="39"/>
        <v>1204.0900000000154</v>
      </c>
      <c r="D369">
        <f t="shared" si="42"/>
        <v>69.299999999999656</v>
      </c>
      <c r="E369">
        <f t="shared" si="44"/>
        <v>1.9999999999981526</v>
      </c>
      <c r="G369">
        <f t="shared" si="40"/>
        <v>578.33333333333712</v>
      </c>
      <c r="H369">
        <f t="shared" si="43"/>
        <v>16.666666666667187</v>
      </c>
      <c r="I369">
        <f t="shared" si="45"/>
        <v>1.1368683772161441E-11</v>
      </c>
    </row>
    <row r="370" spans="1:9">
      <c r="A370">
        <f t="shared" si="41"/>
        <v>34.800000000000225</v>
      </c>
      <c r="C370">
        <f t="shared" si="39"/>
        <v>1211.0400000000157</v>
      </c>
      <c r="D370">
        <f t="shared" si="42"/>
        <v>69.500000000001734</v>
      </c>
      <c r="E370">
        <f t="shared" si="44"/>
        <v>2.0000000000207478</v>
      </c>
      <c r="G370">
        <f t="shared" si="40"/>
        <v>580.00000000000375</v>
      </c>
      <c r="H370">
        <f t="shared" si="43"/>
        <v>16.66666666666605</v>
      </c>
      <c r="I370">
        <f t="shared" si="45"/>
        <v>-1.1368683772161441E-11</v>
      </c>
    </row>
    <row r="371" spans="1:9">
      <c r="A371">
        <f t="shared" si="41"/>
        <v>34.900000000000226</v>
      </c>
      <c r="C371">
        <f t="shared" si="39"/>
        <v>1218.0100000000157</v>
      </c>
      <c r="D371">
        <f t="shared" si="42"/>
        <v>69.699999999999278</v>
      </c>
      <c r="E371">
        <f t="shared" si="44"/>
        <v>1.9999999999754152</v>
      </c>
      <c r="G371">
        <f t="shared" si="40"/>
        <v>581.66666666667049</v>
      </c>
      <c r="H371">
        <f t="shared" si="43"/>
        <v>16.666666666667187</v>
      </c>
      <c r="I371">
        <f t="shared" si="45"/>
        <v>1.1368683772161441E-11</v>
      </c>
    </row>
    <row r="372" spans="1:9">
      <c r="A372">
        <f t="shared" si="41"/>
        <v>35.000000000000227</v>
      </c>
      <c r="C372">
        <f t="shared" si="39"/>
        <v>1225.0000000000159</v>
      </c>
      <c r="D372">
        <f t="shared" si="42"/>
        <v>69.90000000000137</v>
      </c>
      <c r="E372">
        <f t="shared" si="44"/>
        <v>2.00000000002089</v>
      </c>
      <c r="G372">
        <f t="shared" si="40"/>
        <v>583.33333333333712</v>
      </c>
      <c r="H372">
        <f t="shared" si="43"/>
        <v>16.66666666666605</v>
      </c>
      <c r="I372">
        <f t="shared" si="45"/>
        <v>-1.1368683772161441E-11</v>
      </c>
    </row>
    <row r="373" spans="1:9">
      <c r="A373">
        <f t="shared" si="41"/>
        <v>35.100000000000229</v>
      </c>
      <c r="C373">
        <f t="shared" si="39"/>
        <v>1232.0100000000161</v>
      </c>
      <c r="D373">
        <f t="shared" si="42"/>
        <v>70.100000000001188</v>
      </c>
      <c r="E373">
        <f t="shared" si="44"/>
        <v>1.9999999999981526</v>
      </c>
      <c r="G373">
        <f t="shared" si="40"/>
        <v>585.00000000000387</v>
      </c>
      <c r="H373">
        <f t="shared" si="43"/>
        <v>16.666666666667187</v>
      </c>
      <c r="I373">
        <f t="shared" si="45"/>
        <v>1.1368683772161441E-11</v>
      </c>
    </row>
    <row r="374" spans="1:9">
      <c r="A374">
        <f t="shared" si="41"/>
        <v>35.20000000000023</v>
      </c>
      <c r="C374">
        <f t="shared" si="39"/>
        <v>1239.0400000000161</v>
      </c>
      <c r="D374">
        <f t="shared" si="42"/>
        <v>70.299999999998732</v>
      </c>
      <c r="E374">
        <f t="shared" si="44"/>
        <v>1.9999999999754152</v>
      </c>
      <c r="G374">
        <f t="shared" si="40"/>
        <v>586.66666666667049</v>
      </c>
      <c r="H374">
        <f t="shared" si="43"/>
        <v>16.66666666666605</v>
      </c>
      <c r="I374">
        <f t="shared" si="45"/>
        <v>-1.1368683772161441E-11</v>
      </c>
    </row>
    <row r="375" spans="1:9">
      <c r="A375">
        <f t="shared" si="41"/>
        <v>35.300000000000232</v>
      </c>
      <c r="C375">
        <f t="shared" si="39"/>
        <v>1246.0900000000163</v>
      </c>
      <c r="D375">
        <f t="shared" si="42"/>
        <v>70.500000000000824</v>
      </c>
      <c r="E375">
        <f t="shared" si="44"/>
        <v>2.00000000002089</v>
      </c>
      <c r="G375">
        <f t="shared" si="40"/>
        <v>588.33333333333724</v>
      </c>
      <c r="H375">
        <f t="shared" si="43"/>
        <v>16.666666666667187</v>
      </c>
      <c r="I375">
        <f t="shared" si="45"/>
        <v>1.1368683772161441E-11</v>
      </c>
    </row>
    <row r="376" spans="1:9">
      <c r="A376">
        <f t="shared" si="41"/>
        <v>35.400000000000233</v>
      </c>
      <c r="C376">
        <f t="shared" si="39"/>
        <v>1253.1600000000165</v>
      </c>
      <c r="D376">
        <f t="shared" si="42"/>
        <v>70.700000000000628</v>
      </c>
      <c r="E376">
        <f t="shared" si="44"/>
        <v>1.9999999999980105</v>
      </c>
      <c r="G376">
        <f t="shared" si="40"/>
        <v>590.00000000000398</v>
      </c>
      <c r="H376">
        <f t="shared" si="43"/>
        <v>16.666666666667187</v>
      </c>
      <c r="I376">
        <f t="shared" si="45"/>
        <v>0</v>
      </c>
    </row>
    <row r="377" spans="1:9">
      <c r="A377">
        <f t="shared" si="41"/>
        <v>35.500000000000234</v>
      </c>
      <c r="C377">
        <f t="shared" si="39"/>
        <v>1260.2500000000166</v>
      </c>
      <c r="D377">
        <f t="shared" si="42"/>
        <v>70.900000000000446</v>
      </c>
      <c r="E377">
        <f t="shared" si="44"/>
        <v>1.9999999999981526</v>
      </c>
      <c r="G377">
        <f t="shared" si="40"/>
        <v>591.66666666667061</v>
      </c>
      <c r="H377">
        <f t="shared" si="43"/>
        <v>16.66666666666605</v>
      </c>
      <c r="I377">
        <f t="shared" si="45"/>
        <v>-1.1368683772161441E-11</v>
      </c>
    </row>
    <row r="378" spans="1:9">
      <c r="A378">
        <f t="shared" si="41"/>
        <v>35.600000000000236</v>
      </c>
      <c r="C378">
        <f t="shared" si="39"/>
        <v>1267.3600000000167</v>
      </c>
      <c r="D378">
        <f t="shared" si="42"/>
        <v>71.100000000000264</v>
      </c>
      <c r="E378">
        <f t="shared" si="44"/>
        <v>1.9999999999981526</v>
      </c>
      <c r="G378">
        <f t="shared" si="40"/>
        <v>593.33333333333735</v>
      </c>
      <c r="H378">
        <f t="shared" si="43"/>
        <v>16.666666666667187</v>
      </c>
      <c r="I378">
        <f t="shared" si="45"/>
        <v>1.1368683772161441E-11</v>
      </c>
    </row>
    <row r="379" spans="1:9">
      <c r="A379">
        <f t="shared" si="41"/>
        <v>35.700000000000237</v>
      </c>
      <c r="C379">
        <f t="shared" ref="C379:C442" si="46">$D$15+$D$16*A379+($D$17*A379^2)/2</f>
        <v>1274.4900000000168</v>
      </c>
      <c r="D379">
        <f t="shared" si="42"/>
        <v>71.300000000000082</v>
      </c>
      <c r="E379">
        <f t="shared" si="44"/>
        <v>1.9999999999981526</v>
      </c>
      <c r="G379">
        <f t="shared" ref="G379:G442" si="47">$H$16+$K$15*A379</f>
        <v>595.00000000000398</v>
      </c>
      <c r="H379">
        <f t="shared" si="43"/>
        <v>16.66666666666605</v>
      </c>
      <c r="I379">
        <f t="shared" si="45"/>
        <v>-1.1368683772161441E-11</v>
      </c>
    </row>
    <row r="380" spans="1:9">
      <c r="A380">
        <f t="shared" si="41"/>
        <v>35.800000000000239</v>
      </c>
      <c r="C380">
        <f t="shared" si="46"/>
        <v>1281.6400000000172</v>
      </c>
      <c r="D380">
        <f t="shared" si="42"/>
        <v>71.50000000000216</v>
      </c>
      <c r="E380">
        <f t="shared" si="44"/>
        <v>2.0000000000207478</v>
      </c>
      <c r="G380">
        <f t="shared" si="47"/>
        <v>596.66666666667072</v>
      </c>
      <c r="H380">
        <f t="shared" si="43"/>
        <v>16.666666666667187</v>
      </c>
      <c r="I380">
        <f t="shared" si="45"/>
        <v>1.1368683772161441E-11</v>
      </c>
    </row>
    <row r="381" spans="1:9">
      <c r="A381">
        <f t="shared" si="41"/>
        <v>35.90000000000024</v>
      </c>
      <c r="C381">
        <f t="shared" si="46"/>
        <v>1288.8100000000172</v>
      </c>
      <c r="D381">
        <f t="shared" si="42"/>
        <v>71.699999999999704</v>
      </c>
      <c r="E381">
        <f t="shared" si="44"/>
        <v>1.9999999999754152</v>
      </c>
      <c r="G381">
        <f t="shared" si="47"/>
        <v>598.33333333333735</v>
      </c>
      <c r="H381">
        <f t="shared" si="43"/>
        <v>16.66666666666605</v>
      </c>
      <c r="I381">
        <f t="shared" si="45"/>
        <v>-1.1368683772161441E-11</v>
      </c>
    </row>
    <row r="382" spans="1:9">
      <c r="A382">
        <f t="shared" si="41"/>
        <v>36.000000000000242</v>
      </c>
      <c r="C382">
        <f t="shared" si="46"/>
        <v>1296.0000000000173</v>
      </c>
      <c r="D382">
        <f t="shared" si="42"/>
        <v>71.899999999999523</v>
      </c>
      <c r="E382">
        <f t="shared" si="44"/>
        <v>1.9999999999981526</v>
      </c>
      <c r="G382">
        <f t="shared" si="47"/>
        <v>600.00000000000409</v>
      </c>
      <c r="H382">
        <f t="shared" si="43"/>
        <v>16.666666666667187</v>
      </c>
      <c r="I382">
        <f t="shared" si="45"/>
        <v>1.1368683772161441E-11</v>
      </c>
    </row>
    <row r="383" spans="1:9">
      <c r="A383">
        <f t="shared" si="41"/>
        <v>36.100000000000243</v>
      </c>
      <c r="C383">
        <f t="shared" si="46"/>
        <v>1303.2100000000175</v>
      </c>
      <c r="D383">
        <f t="shared" si="42"/>
        <v>72.100000000001614</v>
      </c>
      <c r="E383">
        <f t="shared" si="44"/>
        <v>2.00000000002089</v>
      </c>
      <c r="G383">
        <f t="shared" si="47"/>
        <v>601.66666666667072</v>
      </c>
      <c r="H383">
        <f t="shared" si="43"/>
        <v>16.66666666666605</v>
      </c>
      <c r="I383">
        <f t="shared" si="45"/>
        <v>-1.1368683772161441E-11</v>
      </c>
    </row>
    <row r="384" spans="1:9">
      <c r="A384">
        <f t="shared" si="41"/>
        <v>36.200000000000244</v>
      </c>
      <c r="C384">
        <f t="shared" si="46"/>
        <v>1310.4400000000178</v>
      </c>
      <c r="D384">
        <f t="shared" si="42"/>
        <v>72.300000000001432</v>
      </c>
      <c r="E384">
        <f t="shared" si="44"/>
        <v>1.9999999999981526</v>
      </c>
      <c r="G384">
        <f t="shared" si="47"/>
        <v>603.33333333333746</v>
      </c>
      <c r="H384">
        <f t="shared" si="43"/>
        <v>16.666666666667187</v>
      </c>
      <c r="I384">
        <f t="shared" si="45"/>
        <v>1.1368683772161441E-11</v>
      </c>
    </row>
    <row r="385" spans="1:9">
      <c r="A385">
        <f t="shared" si="41"/>
        <v>36.300000000000246</v>
      </c>
      <c r="C385">
        <f t="shared" si="46"/>
        <v>1317.6900000000178</v>
      </c>
      <c r="D385">
        <f t="shared" si="42"/>
        <v>72.499999999998977</v>
      </c>
      <c r="E385">
        <f t="shared" si="44"/>
        <v>1.9999999999754152</v>
      </c>
      <c r="G385">
        <f t="shared" si="47"/>
        <v>605.00000000000409</v>
      </c>
      <c r="H385">
        <f t="shared" si="43"/>
        <v>16.66666666666605</v>
      </c>
      <c r="I385">
        <f t="shared" si="45"/>
        <v>-1.1368683772161441E-11</v>
      </c>
    </row>
    <row r="386" spans="1:9">
      <c r="A386">
        <f t="shared" si="41"/>
        <v>36.400000000000247</v>
      </c>
      <c r="C386">
        <f t="shared" si="46"/>
        <v>1324.960000000018</v>
      </c>
      <c r="D386">
        <f t="shared" si="42"/>
        <v>72.700000000001054</v>
      </c>
      <c r="E386">
        <f t="shared" si="44"/>
        <v>2.0000000000207478</v>
      </c>
      <c r="G386">
        <f t="shared" si="47"/>
        <v>606.66666666667084</v>
      </c>
      <c r="H386">
        <f t="shared" si="43"/>
        <v>16.666666666667187</v>
      </c>
      <c r="I386">
        <f t="shared" si="45"/>
        <v>1.1368683772161441E-11</v>
      </c>
    </row>
    <row r="387" spans="1:9">
      <c r="A387">
        <f t="shared" si="41"/>
        <v>36.500000000000249</v>
      </c>
      <c r="C387">
        <f t="shared" si="46"/>
        <v>1332.2500000000182</v>
      </c>
      <c r="D387">
        <f t="shared" si="42"/>
        <v>72.900000000000873</v>
      </c>
      <c r="E387">
        <f t="shared" si="44"/>
        <v>1.9999999999981526</v>
      </c>
      <c r="G387">
        <f t="shared" si="47"/>
        <v>608.33333333333758</v>
      </c>
      <c r="H387">
        <f t="shared" si="43"/>
        <v>16.666666666667187</v>
      </c>
      <c r="I387">
        <f t="shared" si="45"/>
        <v>0</v>
      </c>
    </row>
    <row r="388" spans="1:9">
      <c r="A388">
        <f t="shared" si="41"/>
        <v>36.60000000000025</v>
      </c>
      <c r="C388">
        <f t="shared" si="46"/>
        <v>1339.5600000000184</v>
      </c>
      <c r="D388">
        <f t="shared" si="42"/>
        <v>73.100000000000691</v>
      </c>
      <c r="E388">
        <f t="shared" si="44"/>
        <v>1.9999999999981526</v>
      </c>
      <c r="G388">
        <f t="shared" si="47"/>
        <v>610.00000000000421</v>
      </c>
      <c r="H388">
        <f t="shared" si="43"/>
        <v>16.66666666666605</v>
      </c>
      <c r="I388">
        <f t="shared" si="45"/>
        <v>-1.1368683772161441E-11</v>
      </c>
    </row>
    <row r="389" spans="1:9">
      <c r="A389">
        <f t="shared" si="41"/>
        <v>36.700000000000252</v>
      </c>
      <c r="C389">
        <f t="shared" si="46"/>
        <v>1346.8900000000185</v>
      </c>
      <c r="D389">
        <f t="shared" si="42"/>
        <v>73.300000000000509</v>
      </c>
      <c r="E389">
        <f t="shared" si="44"/>
        <v>1.9999999999981526</v>
      </c>
      <c r="G389">
        <f t="shared" si="47"/>
        <v>611.66666666667095</v>
      </c>
      <c r="H389">
        <f t="shared" si="43"/>
        <v>16.666666666667187</v>
      </c>
      <c r="I389">
        <f t="shared" si="45"/>
        <v>1.1368683772161441E-11</v>
      </c>
    </row>
    <row r="390" spans="1:9">
      <c r="A390">
        <f t="shared" si="41"/>
        <v>36.800000000000253</v>
      </c>
      <c r="C390">
        <f t="shared" si="46"/>
        <v>1354.2400000000187</v>
      </c>
      <c r="D390">
        <f t="shared" si="42"/>
        <v>73.500000000000313</v>
      </c>
      <c r="E390">
        <f t="shared" si="44"/>
        <v>1.9999999999980105</v>
      </c>
      <c r="G390">
        <f t="shared" si="47"/>
        <v>613.33333333333758</v>
      </c>
      <c r="H390">
        <f t="shared" si="43"/>
        <v>16.66666666666605</v>
      </c>
      <c r="I390">
        <f t="shared" si="45"/>
        <v>-1.1368683772161441E-11</v>
      </c>
    </row>
    <row r="391" spans="1:9">
      <c r="A391">
        <f t="shared" si="41"/>
        <v>36.900000000000254</v>
      </c>
      <c r="C391">
        <f t="shared" si="46"/>
        <v>1361.6100000000188</v>
      </c>
      <c r="D391">
        <f t="shared" si="42"/>
        <v>73.700000000000131</v>
      </c>
      <c r="E391">
        <f t="shared" si="44"/>
        <v>1.9999999999981526</v>
      </c>
      <c r="G391">
        <f t="shared" si="47"/>
        <v>615.00000000000432</v>
      </c>
      <c r="H391">
        <f t="shared" si="43"/>
        <v>16.666666666667187</v>
      </c>
      <c r="I391">
        <f t="shared" si="45"/>
        <v>1.1368683772161441E-11</v>
      </c>
    </row>
    <row r="392" spans="1:9">
      <c r="A392">
        <f t="shared" si="41"/>
        <v>37.000000000000256</v>
      </c>
      <c r="C392">
        <f t="shared" si="46"/>
        <v>1369.0000000000189</v>
      </c>
      <c r="D392">
        <f t="shared" si="42"/>
        <v>73.899999999999949</v>
      </c>
      <c r="E392">
        <f t="shared" si="44"/>
        <v>1.9999999999981526</v>
      </c>
      <c r="G392">
        <f t="shared" si="47"/>
        <v>616.66666666667095</v>
      </c>
      <c r="H392">
        <f t="shared" si="43"/>
        <v>16.66666666666605</v>
      </c>
      <c r="I392">
        <f t="shared" si="45"/>
        <v>-1.1368683772161441E-11</v>
      </c>
    </row>
    <row r="393" spans="1:9">
      <c r="A393">
        <f t="shared" si="41"/>
        <v>37.100000000000257</v>
      </c>
      <c r="C393">
        <f t="shared" si="46"/>
        <v>1376.4100000000192</v>
      </c>
      <c r="D393">
        <f t="shared" si="42"/>
        <v>74.100000000002041</v>
      </c>
      <c r="E393">
        <f t="shared" si="44"/>
        <v>2.00000000002089</v>
      </c>
      <c r="G393">
        <f t="shared" si="47"/>
        <v>618.33333333333769</v>
      </c>
      <c r="H393">
        <f t="shared" si="43"/>
        <v>16.666666666667187</v>
      </c>
      <c r="I393">
        <f t="shared" si="45"/>
        <v>1.1368683772161441E-11</v>
      </c>
    </row>
    <row r="394" spans="1:9">
      <c r="A394">
        <f t="shared" si="41"/>
        <v>37.200000000000259</v>
      </c>
      <c r="C394">
        <f t="shared" si="46"/>
        <v>1383.8400000000192</v>
      </c>
      <c r="D394">
        <f t="shared" si="42"/>
        <v>74.299999999999585</v>
      </c>
      <c r="E394">
        <f t="shared" si="44"/>
        <v>1.9999999999754152</v>
      </c>
      <c r="G394">
        <f t="shared" si="47"/>
        <v>620.00000000000432</v>
      </c>
      <c r="H394">
        <f t="shared" si="43"/>
        <v>16.66666666666605</v>
      </c>
      <c r="I394">
        <f t="shared" si="45"/>
        <v>-1.1368683772161441E-11</v>
      </c>
    </row>
    <row r="395" spans="1:9">
      <c r="A395">
        <f t="shared" si="41"/>
        <v>37.30000000000026</v>
      </c>
      <c r="C395">
        <f t="shared" si="46"/>
        <v>1391.2900000000193</v>
      </c>
      <c r="D395">
        <f t="shared" si="42"/>
        <v>74.499999999999403</v>
      </c>
      <c r="E395">
        <f t="shared" si="44"/>
        <v>1.9999999999981526</v>
      </c>
      <c r="G395">
        <f t="shared" si="47"/>
        <v>621.66666666667106</v>
      </c>
      <c r="H395">
        <f t="shared" si="43"/>
        <v>16.666666666667187</v>
      </c>
      <c r="I395">
        <f t="shared" si="45"/>
        <v>1.1368683772161441E-11</v>
      </c>
    </row>
    <row r="396" spans="1:9">
      <c r="A396">
        <f t="shared" si="41"/>
        <v>37.400000000000261</v>
      </c>
      <c r="C396">
        <f t="shared" si="46"/>
        <v>1398.7600000000195</v>
      </c>
      <c r="D396">
        <f t="shared" si="42"/>
        <v>74.700000000001481</v>
      </c>
      <c r="E396">
        <f t="shared" si="44"/>
        <v>2.0000000000207478</v>
      </c>
      <c r="G396">
        <f t="shared" si="47"/>
        <v>623.33333333333769</v>
      </c>
      <c r="H396">
        <f t="shared" si="43"/>
        <v>16.66666666666605</v>
      </c>
      <c r="I396">
        <f t="shared" si="45"/>
        <v>-1.1368683772161441E-11</v>
      </c>
    </row>
    <row r="397" spans="1:9">
      <c r="A397">
        <f t="shared" si="41"/>
        <v>37.500000000000263</v>
      </c>
      <c r="C397">
        <f t="shared" si="46"/>
        <v>1406.2500000000198</v>
      </c>
      <c r="D397">
        <f t="shared" si="42"/>
        <v>74.900000000001299</v>
      </c>
      <c r="E397">
        <f t="shared" si="44"/>
        <v>1.9999999999981526</v>
      </c>
      <c r="G397">
        <f t="shared" si="47"/>
        <v>625.00000000000443</v>
      </c>
      <c r="H397">
        <f t="shared" si="43"/>
        <v>16.666666666667187</v>
      </c>
      <c r="I397">
        <f t="shared" si="45"/>
        <v>1.1368683772161441E-11</v>
      </c>
    </row>
    <row r="398" spans="1:9">
      <c r="A398">
        <f t="shared" ref="A398:A447" si="48">A397+$B$20</f>
        <v>37.600000000000264</v>
      </c>
      <c r="C398">
        <f t="shared" si="46"/>
        <v>1413.7600000000198</v>
      </c>
      <c r="D398">
        <f t="shared" si="42"/>
        <v>75.099999999998843</v>
      </c>
      <c r="E398">
        <f t="shared" si="44"/>
        <v>1.9999999999754152</v>
      </c>
      <c r="G398">
        <f t="shared" si="47"/>
        <v>626.66666666667106</v>
      </c>
      <c r="H398">
        <f t="shared" si="43"/>
        <v>16.66666666666605</v>
      </c>
      <c r="I398">
        <f t="shared" si="45"/>
        <v>-1.1368683772161441E-11</v>
      </c>
    </row>
    <row r="399" spans="1:9">
      <c r="A399">
        <f t="shared" si="48"/>
        <v>37.700000000000266</v>
      </c>
      <c r="C399">
        <f t="shared" si="46"/>
        <v>1421.29000000002</v>
      </c>
      <c r="D399">
        <f t="shared" si="42"/>
        <v>75.300000000000935</v>
      </c>
      <c r="E399">
        <f t="shared" si="44"/>
        <v>2.00000000002089</v>
      </c>
      <c r="G399">
        <f t="shared" si="47"/>
        <v>628.33333333333781</v>
      </c>
      <c r="H399">
        <f t="shared" si="43"/>
        <v>16.666666666667187</v>
      </c>
      <c r="I399">
        <f t="shared" si="45"/>
        <v>1.1368683772161441E-11</v>
      </c>
    </row>
    <row r="400" spans="1:9">
      <c r="A400">
        <f t="shared" si="48"/>
        <v>37.800000000000267</v>
      </c>
      <c r="C400">
        <f t="shared" si="46"/>
        <v>1428.8400000000202</v>
      </c>
      <c r="D400">
        <f t="shared" si="42"/>
        <v>75.500000000000739</v>
      </c>
      <c r="E400">
        <f t="shared" si="44"/>
        <v>1.9999999999980105</v>
      </c>
      <c r="G400">
        <f t="shared" si="47"/>
        <v>630.00000000000455</v>
      </c>
      <c r="H400">
        <f t="shared" si="43"/>
        <v>16.666666666667187</v>
      </c>
      <c r="I400">
        <f t="shared" si="45"/>
        <v>0</v>
      </c>
    </row>
    <row r="401" spans="1:9">
      <c r="A401">
        <f t="shared" si="48"/>
        <v>37.900000000000269</v>
      </c>
      <c r="C401">
        <f t="shared" si="46"/>
        <v>1436.4100000000203</v>
      </c>
      <c r="D401">
        <f t="shared" si="42"/>
        <v>75.700000000000557</v>
      </c>
      <c r="E401">
        <f t="shared" si="44"/>
        <v>1.9999999999981526</v>
      </c>
      <c r="G401">
        <f t="shared" si="47"/>
        <v>631.66666666667118</v>
      </c>
      <c r="H401">
        <f t="shared" si="43"/>
        <v>16.66666666666605</v>
      </c>
      <c r="I401">
        <f t="shared" si="45"/>
        <v>-1.1368683772161441E-11</v>
      </c>
    </row>
    <row r="402" spans="1:9">
      <c r="A402">
        <f t="shared" si="48"/>
        <v>38.00000000000027</v>
      </c>
      <c r="C402">
        <f t="shared" si="46"/>
        <v>1444.0000000000205</v>
      </c>
      <c r="D402">
        <f t="shared" si="42"/>
        <v>75.900000000000375</v>
      </c>
      <c r="E402">
        <f t="shared" si="44"/>
        <v>1.9999999999981526</v>
      </c>
      <c r="G402">
        <f t="shared" si="47"/>
        <v>633.33333333333792</v>
      </c>
      <c r="H402">
        <f t="shared" si="43"/>
        <v>16.666666666667187</v>
      </c>
      <c r="I402">
        <f t="shared" si="45"/>
        <v>1.1368683772161441E-11</v>
      </c>
    </row>
    <row r="403" spans="1:9">
      <c r="A403">
        <f t="shared" si="48"/>
        <v>38.100000000000271</v>
      </c>
      <c r="C403">
        <f t="shared" si="46"/>
        <v>1451.6100000000206</v>
      </c>
      <c r="D403">
        <f t="shared" si="42"/>
        <v>76.100000000000193</v>
      </c>
      <c r="E403">
        <f t="shared" si="44"/>
        <v>1.9999999999981526</v>
      </c>
      <c r="G403">
        <f t="shared" si="47"/>
        <v>635.00000000000455</v>
      </c>
      <c r="H403">
        <f t="shared" si="43"/>
        <v>16.66666666666605</v>
      </c>
      <c r="I403">
        <f t="shared" si="45"/>
        <v>-1.1368683772161441E-11</v>
      </c>
    </row>
    <row r="404" spans="1:9">
      <c r="A404">
        <f t="shared" si="48"/>
        <v>38.200000000000273</v>
      </c>
      <c r="C404">
        <f t="shared" si="46"/>
        <v>1459.2400000000209</v>
      </c>
      <c r="D404">
        <f t="shared" si="42"/>
        <v>76.300000000002285</v>
      </c>
      <c r="E404">
        <f t="shared" si="44"/>
        <v>2.00000000002089</v>
      </c>
      <c r="G404">
        <f t="shared" si="47"/>
        <v>636.66666666667129</v>
      </c>
      <c r="H404">
        <f t="shared" si="43"/>
        <v>16.666666666667187</v>
      </c>
      <c r="I404">
        <f t="shared" si="45"/>
        <v>1.1368683772161441E-11</v>
      </c>
    </row>
    <row r="405" spans="1:9">
      <c r="A405">
        <f t="shared" si="48"/>
        <v>38.300000000000274</v>
      </c>
      <c r="C405">
        <f t="shared" si="46"/>
        <v>1466.890000000021</v>
      </c>
      <c r="D405">
        <f t="shared" si="42"/>
        <v>76.499999999999829</v>
      </c>
      <c r="E405">
        <f t="shared" si="44"/>
        <v>1.9999999999754152</v>
      </c>
      <c r="G405">
        <f t="shared" si="47"/>
        <v>638.33333333333792</v>
      </c>
      <c r="H405">
        <f t="shared" si="43"/>
        <v>16.66666666666605</v>
      </c>
      <c r="I405">
        <f t="shared" si="45"/>
        <v>-1.1368683772161441E-11</v>
      </c>
    </row>
    <row r="406" spans="1:9">
      <c r="A406">
        <f t="shared" si="48"/>
        <v>38.400000000000276</v>
      </c>
      <c r="C406">
        <f t="shared" si="46"/>
        <v>1474.5600000000211</v>
      </c>
      <c r="D406">
        <f t="shared" si="42"/>
        <v>76.699999999999633</v>
      </c>
      <c r="E406">
        <f t="shared" si="44"/>
        <v>1.9999999999980105</v>
      </c>
      <c r="G406">
        <f t="shared" si="47"/>
        <v>640.00000000000466</v>
      </c>
      <c r="H406">
        <f t="shared" si="43"/>
        <v>16.666666666667187</v>
      </c>
      <c r="I406">
        <f t="shared" si="45"/>
        <v>1.1368683772161441E-11</v>
      </c>
    </row>
    <row r="407" spans="1:9">
      <c r="A407">
        <f t="shared" si="48"/>
        <v>38.500000000000277</v>
      </c>
      <c r="C407">
        <f t="shared" si="46"/>
        <v>1482.2500000000214</v>
      </c>
      <c r="D407">
        <f t="shared" si="42"/>
        <v>76.900000000001725</v>
      </c>
      <c r="E407">
        <f t="shared" si="44"/>
        <v>2.00000000002089</v>
      </c>
      <c r="G407">
        <f t="shared" si="47"/>
        <v>641.66666666667129</v>
      </c>
      <c r="H407">
        <f t="shared" si="43"/>
        <v>16.66666666666605</v>
      </c>
      <c r="I407">
        <f t="shared" si="45"/>
        <v>-1.1368683772161441E-11</v>
      </c>
    </row>
    <row r="408" spans="1:9">
      <c r="A408">
        <f t="shared" si="48"/>
        <v>38.600000000000279</v>
      </c>
      <c r="C408">
        <f t="shared" si="46"/>
        <v>1489.9600000000214</v>
      </c>
      <c r="D408">
        <f t="shared" ref="D408:D447" si="49">(C408-C407)/(A408-A407)</f>
        <v>77.09999999999927</v>
      </c>
      <c r="E408">
        <f t="shared" si="44"/>
        <v>1.9999999999754152</v>
      </c>
      <c r="G408">
        <f t="shared" si="47"/>
        <v>643.33333333333803</v>
      </c>
      <c r="H408">
        <f t="shared" ref="H408:H447" si="50">(G408-G407)/(A408-A407)</f>
        <v>16.666666666667187</v>
      </c>
      <c r="I408">
        <f t="shared" si="45"/>
        <v>1.1368683772161441E-11</v>
      </c>
    </row>
    <row r="409" spans="1:9">
      <c r="A409">
        <f t="shared" si="48"/>
        <v>38.70000000000028</v>
      </c>
      <c r="C409">
        <f t="shared" si="46"/>
        <v>1497.6900000000217</v>
      </c>
      <c r="D409">
        <f t="shared" si="49"/>
        <v>77.300000000001361</v>
      </c>
      <c r="E409">
        <f t="shared" ref="E409:E447" si="51">(D409-D408)/(A409-A408)</f>
        <v>2.00000000002089</v>
      </c>
      <c r="G409">
        <f t="shared" si="47"/>
        <v>645.00000000000466</v>
      </c>
      <c r="H409">
        <f t="shared" si="50"/>
        <v>16.66666666666605</v>
      </c>
      <c r="I409">
        <f t="shared" si="45"/>
        <v>-1.1368683772161441E-11</v>
      </c>
    </row>
    <row r="410" spans="1:9">
      <c r="A410">
        <f t="shared" si="48"/>
        <v>38.800000000000281</v>
      </c>
      <c r="C410">
        <f t="shared" si="46"/>
        <v>1505.4400000000219</v>
      </c>
      <c r="D410">
        <f t="shared" si="49"/>
        <v>77.500000000001165</v>
      </c>
      <c r="E410">
        <f t="shared" si="51"/>
        <v>1.9999999999980105</v>
      </c>
      <c r="G410">
        <f t="shared" si="47"/>
        <v>646.6666666666714</v>
      </c>
      <c r="H410">
        <f t="shared" si="50"/>
        <v>16.666666666667187</v>
      </c>
      <c r="I410">
        <f t="shared" si="45"/>
        <v>1.1368683772161441E-11</v>
      </c>
    </row>
    <row r="411" spans="1:9">
      <c r="A411">
        <f t="shared" si="48"/>
        <v>38.900000000000283</v>
      </c>
      <c r="C411">
        <f t="shared" si="46"/>
        <v>1513.2100000000221</v>
      </c>
      <c r="D411">
        <f t="shared" si="49"/>
        <v>77.700000000000983</v>
      </c>
      <c r="E411">
        <f t="shared" si="51"/>
        <v>1.9999999999981526</v>
      </c>
      <c r="G411">
        <f t="shared" si="47"/>
        <v>648.33333333333815</v>
      </c>
      <c r="H411">
        <f t="shared" si="50"/>
        <v>16.666666666667187</v>
      </c>
      <c r="I411">
        <f t="shared" ref="I411:I447" si="52">(H411-H410)/(A411-A410)</f>
        <v>0</v>
      </c>
    </row>
    <row r="412" spans="1:9">
      <c r="A412">
        <f t="shared" si="48"/>
        <v>39.000000000000284</v>
      </c>
      <c r="C412">
        <f t="shared" si="46"/>
        <v>1521.0000000000223</v>
      </c>
      <c r="D412">
        <f t="shared" si="49"/>
        <v>77.900000000000801</v>
      </c>
      <c r="E412">
        <f t="shared" si="51"/>
        <v>1.9999999999981526</v>
      </c>
      <c r="G412">
        <f t="shared" si="47"/>
        <v>650.00000000000477</v>
      </c>
      <c r="H412">
        <f t="shared" si="50"/>
        <v>16.66666666666605</v>
      </c>
      <c r="I412">
        <f t="shared" si="52"/>
        <v>-1.1368683772161441E-11</v>
      </c>
    </row>
    <row r="413" spans="1:9">
      <c r="A413">
        <f t="shared" si="48"/>
        <v>39.100000000000286</v>
      </c>
      <c r="C413">
        <f t="shared" si="46"/>
        <v>1528.8100000000222</v>
      </c>
      <c r="D413">
        <f t="shared" si="49"/>
        <v>78.099999999998346</v>
      </c>
      <c r="E413">
        <f t="shared" si="51"/>
        <v>1.9999999999754152</v>
      </c>
      <c r="G413">
        <f t="shared" si="47"/>
        <v>651.66666666667152</v>
      </c>
      <c r="H413">
        <f t="shared" si="50"/>
        <v>16.666666666667187</v>
      </c>
      <c r="I413">
        <f t="shared" si="52"/>
        <v>1.1368683772161441E-11</v>
      </c>
    </row>
    <row r="414" spans="1:9">
      <c r="A414">
        <f t="shared" si="48"/>
        <v>39.200000000000287</v>
      </c>
      <c r="C414">
        <f t="shared" si="46"/>
        <v>1536.6400000000226</v>
      </c>
      <c r="D414">
        <f t="shared" si="49"/>
        <v>78.300000000002711</v>
      </c>
      <c r="E414">
        <f t="shared" si="51"/>
        <v>2.0000000000436273</v>
      </c>
      <c r="G414">
        <f t="shared" si="47"/>
        <v>653.33333333333815</v>
      </c>
      <c r="H414">
        <f t="shared" si="50"/>
        <v>16.66666666666605</v>
      </c>
      <c r="I414">
        <f t="shared" si="52"/>
        <v>-1.1368683772161441E-11</v>
      </c>
    </row>
    <row r="415" spans="1:9">
      <c r="A415">
        <f t="shared" si="48"/>
        <v>39.300000000000288</v>
      </c>
      <c r="C415">
        <f t="shared" si="46"/>
        <v>1544.4900000000227</v>
      </c>
      <c r="D415">
        <f t="shared" si="49"/>
        <v>78.500000000000256</v>
      </c>
      <c r="E415">
        <f t="shared" si="51"/>
        <v>1.9999999999754152</v>
      </c>
      <c r="G415">
        <f t="shared" si="47"/>
        <v>655.00000000000489</v>
      </c>
      <c r="H415">
        <f t="shared" si="50"/>
        <v>16.666666666667187</v>
      </c>
      <c r="I415">
        <f t="shared" si="52"/>
        <v>1.1368683772161441E-11</v>
      </c>
    </row>
    <row r="416" spans="1:9">
      <c r="A416">
        <f t="shared" si="48"/>
        <v>39.40000000000029</v>
      </c>
      <c r="C416">
        <f t="shared" si="46"/>
        <v>1552.3600000000229</v>
      </c>
      <c r="D416">
        <f t="shared" si="49"/>
        <v>78.70000000000006</v>
      </c>
      <c r="E416">
        <f t="shared" si="51"/>
        <v>1.9999999999980105</v>
      </c>
      <c r="G416">
        <f t="shared" si="47"/>
        <v>656.66666666667152</v>
      </c>
      <c r="H416">
        <f t="shared" si="50"/>
        <v>16.66666666666605</v>
      </c>
      <c r="I416">
        <f t="shared" si="52"/>
        <v>-1.1368683772161441E-11</v>
      </c>
    </row>
    <row r="417" spans="1:9">
      <c r="A417">
        <f t="shared" si="48"/>
        <v>39.500000000000291</v>
      </c>
      <c r="C417">
        <f t="shared" si="46"/>
        <v>1560.250000000023</v>
      </c>
      <c r="D417">
        <f t="shared" si="49"/>
        <v>78.899999999999878</v>
      </c>
      <c r="E417">
        <f t="shared" si="51"/>
        <v>1.9999999999981526</v>
      </c>
      <c r="G417">
        <f t="shared" si="47"/>
        <v>658.33333333333826</v>
      </c>
      <c r="H417">
        <f t="shared" si="50"/>
        <v>16.666666666667187</v>
      </c>
      <c r="I417">
        <f t="shared" si="52"/>
        <v>1.1368683772161441E-11</v>
      </c>
    </row>
    <row r="418" spans="1:9">
      <c r="A418">
        <f t="shared" si="48"/>
        <v>39.600000000000293</v>
      </c>
      <c r="C418">
        <f t="shared" si="46"/>
        <v>1568.1600000000233</v>
      </c>
      <c r="D418">
        <f t="shared" si="49"/>
        <v>79.10000000000197</v>
      </c>
      <c r="E418">
        <f t="shared" si="51"/>
        <v>2.00000000002089</v>
      </c>
      <c r="G418">
        <f t="shared" si="47"/>
        <v>660.00000000000489</v>
      </c>
      <c r="H418">
        <f t="shared" si="50"/>
        <v>16.66666666666605</v>
      </c>
      <c r="I418">
        <f t="shared" si="52"/>
        <v>-1.1368683772161441E-11</v>
      </c>
    </row>
    <row r="419" spans="1:9">
      <c r="A419">
        <f t="shared" si="48"/>
        <v>39.700000000000294</v>
      </c>
      <c r="C419">
        <f t="shared" si="46"/>
        <v>1576.0900000000233</v>
      </c>
      <c r="D419">
        <f t="shared" si="49"/>
        <v>79.299999999999514</v>
      </c>
      <c r="E419">
        <f t="shared" si="51"/>
        <v>1.9999999999754152</v>
      </c>
      <c r="G419">
        <f t="shared" si="47"/>
        <v>661.66666666667163</v>
      </c>
      <c r="H419">
        <f t="shared" si="50"/>
        <v>16.666666666667187</v>
      </c>
      <c r="I419">
        <f t="shared" si="52"/>
        <v>1.1368683772161441E-11</v>
      </c>
    </row>
    <row r="420" spans="1:9">
      <c r="A420">
        <f t="shared" si="48"/>
        <v>39.800000000000296</v>
      </c>
      <c r="C420">
        <f t="shared" si="46"/>
        <v>1584.0400000000236</v>
      </c>
      <c r="D420">
        <f t="shared" si="49"/>
        <v>79.500000000001592</v>
      </c>
      <c r="E420">
        <f t="shared" si="51"/>
        <v>2.0000000000207478</v>
      </c>
      <c r="G420">
        <f t="shared" si="47"/>
        <v>663.33333333333826</v>
      </c>
      <c r="H420">
        <f t="shared" si="50"/>
        <v>16.66666666666605</v>
      </c>
      <c r="I420">
        <f t="shared" si="52"/>
        <v>-1.1368683772161441E-11</v>
      </c>
    </row>
    <row r="421" spans="1:9">
      <c r="A421">
        <f t="shared" si="48"/>
        <v>39.900000000000297</v>
      </c>
      <c r="C421">
        <f t="shared" si="46"/>
        <v>1592.0100000000236</v>
      </c>
      <c r="D421">
        <f t="shared" si="49"/>
        <v>79.699999999999136</v>
      </c>
      <c r="E421">
        <f t="shared" si="51"/>
        <v>1.9999999999754152</v>
      </c>
      <c r="G421">
        <f t="shared" si="47"/>
        <v>665.000000000005</v>
      </c>
      <c r="H421">
        <f t="shared" si="50"/>
        <v>16.666666666667187</v>
      </c>
      <c r="I421">
        <f t="shared" si="52"/>
        <v>1.1368683772161441E-11</v>
      </c>
    </row>
    <row r="422" spans="1:9">
      <c r="A422">
        <f t="shared" si="48"/>
        <v>40.000000000000298</v>
      </c>
      <c r="C422">
        <f t="shared" si="46"/>
        <v>1600.0000000000239</v>
      </c>
      <c r="D422">
        <f t="shared" si="49"/>
        <v>79.900000000001228</v>
      </c>
      <c r="E422">
        <f t="shared" si="51"/>
        <v>2.00000000002089</v>
      </c>
      <c r="G422">
        <f t="shared" si="47"/>
        <v>666.66666666667174</v>
      </c>
      <c r="H422">
        <f t="shared" si="50"/>
        <v>16.666666666667187</v>
      </c>
      <c r="I422">
        <f t="shared" si="52"/>
        <v>0</v>
      </c>
    </row>
    <row r="423" spans="1:9">
      <c r="A423">
        <f t="shared" si="48"/>
        <v>40.1000000000003</v>
      </c>
      <c r="C423">
        <f t="shared" si="46"/>
        <v>1608.0100000000241</v>
      </c>
      <c r="D423">
        <f t="shared" si="49"/>
        <v>80.100000000001046</v>
      </c>
      <c r="E423">
        <f t="shared" si="51"/>
        <v>1.9999999999981526</v>
      </c>
      <c r="G423">
        <f t="shared" si="47"/>
        <v>668.33333333333837</v>
      </c>
      <c r="H423">
        <f t="shared" si="50"/>
        <v>16.66666666666605</v>
      </c>
      <c r="I423">
        <f t="shared" si="52"/>
        <v>-1.1368683772161441E-11</v>
      </c>
    </row>
    <row r="424" spans="1:9">
      <c r="A424">
        <f t="shared" si="48"/>
        <v>40.200000000000301</v>
      </c>
      <c r="C424">
        <f t="shared" si="46"/>
        <v>1616.0400000000243</v>
      </c>
      <c r="D424">
        <f t="shared" si="49"/>
        <v>80.300000000000864</v>
      </c>
      <c r="E424">
        <f t="shared" si="51"/>
        <v>1.9999999999981526</v>
      </c>
      <c r="G424">
        <f t="shared" si="47"/>
        <v>670.00000000000512</v>
      </c>
      <c r="H424">
        <f t="shared" si="50"/>
        <v>16.666666666667187</v>
      </c>
      <c r="I424">
        <f t="shared" si="52"/>
        <v>1.1368683772161441E-11</v>
      </c>
    </row>
    <row r="425" spans="1:9">
      <c r="A425">
        <f t="shared" si="48"/>
        <v>40.300000000000303</v>
      </c>
      <c r="C425">
        <f t="shared" si="46"/>
        <v>1624.0900000000245</v>
      </c>
      <c r="D425">
        <f t="shared" si="49"/>
        <v>80.500000000000682</v>
      </c>
      <c r="E425">
        <f t="shared" si="51"/>
        <v>1.9999999999981526</v>
      </c>
      <c r="G425">
        <f t="shared" si="47"/>
        <v>671.66666666667174</v>
      </c>
      <c r="H425">
        <f t="shared" si="50"/>
        <v>16.66666666666605</v>
      </c>
      <c r="I425">
        <f t="shared" si="52"/>
        <v>-1.1368683772161441E-11</v>
      </c>
    </row>
    <row r="426" spans="1:9">
      <c r="A426">
        <f t="shared" si="48"/>
        <v>40.400000000000304</v>
      </c>
      <c r="C426">
        <f t="shared" si="46"/>
        <v>1632.1600000000246</v>
      </c>
      <c r="D426">
        <f t="shared" si="49"/>
        <v>80.700000000000486</v>
      </c>
      <c r="E426">
        <f t="shared" si="51"/>
        <v>1.9999999999980105</v>
      </c>
      <c r="G426">
        <f t="shared" si="47"/>
        <v>673.33333333333849</v>
      </c>
      <c r="H426">
        <f t="shared" si="50"/>
        <v>16.666666666667187</v>
      </c>
      <c r="I426">
        <f t="shared" si="52"/>
        <v>1.1368683772161441E-11</v>
      </c>
    </row>
    <row r="427" spans="1:9">
      <c r="A427">
        <f t="shared" si="48"/>
        <v>40.500000000000306</v>
      </c>
      <c r="C427">
        <f t="shared" si="46"/>
        <v>1640.2500000000248</v>
      </c>
      <c r="D427">
        <f t="shared" si="49"/>
        <v>80.900000000000304</v>
      </c>
      <c r="E427">
        <f t="shared" si="51"/>
        <v>1.9999999999981526</v>
      </c>
      <c r="G427">
        <f t="shared" si="47"/>
        <v>675.00000000000512</v>
      </c>
      <c r="H427">
        <f t="shared" si="50"/>
        <v>16.66666666666605</v>
      </c>
      <c r="I427">
        <f t="shared" si="52"/>
        <v>-1.1368683772161441E-11</v>
      </c>
    </row>
    <row r="428" spans="1:9">
      <c r="A428">
        <f t="shared" si="48"/>
        <v>40.600000000000307</v>
      </c>
      <c r="C428">
        <f t="shared" si="46"/>
        <v>1648.3600000000249</v>
      </c>
      <c r="D428">
        <f t="shared" si="49"/>
        <v>81.100000000000122</v>
      </c>
      <c r="E428">
        <f t="shared" si="51"/>
        <v>1.9999999999981526</v>
      </c>
      <c r="G428">
        <f t="shared" si="47"/>
        <v>676.66666666667186</v>
      </c>
      <c r="H428">
        <f t="shared" si="50"/>
        <v>16.666666666667187</v>
      </c>
      <c r="I428">
        <f t="shared" si="52"/>
        <v>1.1368683772161441E-11</v>
      </c>
    </row>
    <row r="429" spans="1:9">
      <c r="A429">
        <f t="shared" si="48"/>
        <v>40.700000000000308</v>
      </c>
      <c r="C429">
        <f t="shared" si="46"/>
        <v>1656.490000000025</v>
      </c>
      <c r="D429">
        <f t="shared" si="49"/>
        <v>81.29999999999994</v>
      </c>
      <c r="E429">
        <f t="shared" si="51"/>
        <v>1.9999999999981526</v>
      </c>
      <c r="G429">
        <f t="shared" si="47"/>
        <v>678.33333333333849</v>
      </c>
      <c r="H429">
        <f t="shared" si="50"/>
        <v>16.66666666666605</v>
      </c>
      <c r="I429">
        <f t="shared" si="52"/>
        <v>-1.1368683772161441E-11</v>
      </c>
    </row>
    <row r="430" spans="1:9">
      <c r="A430">
        <f t="shared" si="48"/>
        <v>40.80000000000031</v>
      </c>
      <c r="C430">
        <f t="shared" si="46"/>
        <v>1664.6400000000253</v>
      </c>
      <c r="D430">
        <f t="shared" si="49"/>
        <v>81.500000000002018</v>
      </c>
      <c r="E430">
        <f t="shared" si="51"/>
        <v>2.0000000000207478</v>
      </c>
      <c r="G430">
        <f t="shared" si="47"/>
        <v>680.00000000000523</v>
      </c>
      <c r="H430">
        <f t="shared" si="50"/>
        <v>16.666666666667187</v>
      </c>
      <c r="I430">
        <f t="shared" si="52"/>
        <v>1.1368683772161441E-11</v>
      </c>
    </row>
    <row r="431" spans="1:9">
      <c r="A431">
        <f t="shared" si="48"/>
        <v>40.900000000000311</v>
      </c>
      <c r="C431">
        <f t="shared" si="46"/>
        <v>1672.8100000000254</v>
      </c>
      <c r="D431">
        <f t="shared" si="49"/>
        <v>81.699999999999562</v>
      </c>
      <c r="E431">
        <f t="shared" si="51"/>
        <v>1.9999999999754152</v>
      </c>
      <c r="G431">
        <f t="shared" si="47"/>
        <v>681.66666666667186</v>
      </c>
      <c r="H431">
        <f t="shared" si="50"/>
        <v>16.66666666666605</v>
      </c>
      <c r="I431">
        <f t="shared" si="52"/>
        <v>-1.1368683772161441E-11</v>
      </c>
    </row>
    <row r="432" spans="1:9">
      <c r="A432">
        <f t="shared" si="48"/>
        <v>41.000000000000313</v>
      </c>
      <c r="C432">
        <f t="shared" si="46"/>
        <v>1681.0000000000257</v>
      </c>
      <c r="D432">
        <f t="shared" si="49"/>
        <v>81.900000000001654</v>
      </c>
      <c r="E432">
        <f t="shared" si="51"/>
        <v>2.00000000002089</v>
      </c>
      <c r="G432">
        <f t="shared" si="47"/>
        <v>683.3333333333386</v>
      </c>
      <c r="H432">
        <f t="shared" si="50"/>
        <v>16.666666666667187</v>
      </c>
      <c r="I432">
        <f t="shared" si="52"/>
        <v>1.1368683772161441E-11</v>
      </c>
    </row>
    <row r="433" spans="1:9">
      <c r="A433">
        <f t="shared" si="48"/>
        <v>41.100000000000314</v>
      </c>
      <c r="C433">
        <f t="shared" si="46"/>
        <v>1689.2100000000257</v>
      </c>
      <c r="D433">
        <f t="shared" si="49"/>
        <v>82.099999999999199</v>
      </c>
      <c r="E433">
        <f t="shared" si="51"/>
        <v>1.9999999999754152</v>
      </c>
      <c r="G433">
        <f t="shared" si="47"/>
        <v>685.00000000000523</v>
      </c>
      <c r="H433">
        <f t="shared" si="50"/>
        <v>16.66666666666605</v>
      </c>
      <c r="I433">
        <f t="shared" si="52"/>
        <v>-1.1368683772161441E-11</v>
      </c>
    </row>
    <row r="434" spans="1:9">
      <c r="A434">
        <f t="shared" si="48"/>
        <v>41.200000000000315</v>
      </c>
      <c r="C434">
        <f t="shared" si="46"/>
        <v>1697.440000000026</v>
      </c>
      <c r="D434">
        <f t="shared" si="49"/>
        <v>82.30000000000129</v>
      </c>
      <c r="E434">
        <f t="shared" si="51"/>
        <v>2.00000000002089</v>
      </c>
      <c r="G434">
        <f t="shared" si="47"/>
        <v>686.66666666667197</v>
      </c>
      <c r="H434">
        <f t="shared" si="50"/>
        <v>16.666666666667187</v>
      </c>
      <c r="I434">
        <f t="shared" si="52"/>
        <v>1.1368683772161441E-11</v>
      </c>
    </row>
    <row r="435" spans="1:9">
      <c r="A435">
        <f t="shared" si="48"/>
        <v>41.300000000000317</v>
      </c>
      <c r="C435">
        <f t="shared" si="46"/>
        <v>1705.6900000000262</v>
      </c>
      <c r="D435">
        <f t="shared" si="49"/>
        <v>82.500000000001108</v>
      </c>
      <c r="E435">
        <f t="shared" si="51"/>
        <v>1.9999999999981526</v>
      </c>
      <c r="G435">
        <f t="shared" si="47"/>
        <v>688.33333333333871</v>
      </c>
      <c r="H435">
        <f t="shared" si="50"/>
        <v>16.666666666667187</v>
      </c>
      <c r="I435">
        <f t="shared" si="52"/>
        <v>0</v>
      </c>
    </row>
    <row r="436" spans="1:9">
      <c r="A436">
        <f t="shared" si="48"/>
        <v>41.400000000000318</v>
      </c>
      <c r="C436">
        <f t="shared" si="46"/>
        <v>1713.9600000000264</v>
      </c>
      <c r="D436">
        <f t="shared" si="49"/>
        <v>82.700000000000912</v>
      </c>
      <c r="E436">
        <f t="shared" si="51"/>
        <v>1.9999999999980105</v>
      </c>
      <c r="G436">
        <f t="shared" si="47"/>
        <v>690.00000000000534</v>
      </c>
      <c r="H436">
        <f t="shared" si="50"/>
        <v>16.66666666666605</v>
      </c>
      <c r="I436">
        <f t="shared" si="52"/>
        <v>-1.1368683772161441E-11</v>
      </c>
    </row>
    <row r="437" spans="1:9">
      <c r="A437">
        <f t="shared" si="48"/>
        <v>41.50000000000032</v>
      </c>
      <c r="C437">
        <f t="shared" si="46"/>
        <v>1722.2500000000266</v>
      </c>
      <c r="D437">
        <f t="shared" si="49"/>
        <v>82.90000000000073</v>
      </c>
      <c r="E437">
        <f t="shared" si="51"/>
        <v>1.9999999999981526</v>
      </c>
      <c r="G437">
        <f t="shared" si="47"/>
        <v>691.66666666667209</v>
      </c>
      <c r="H437">
        <f t="shared" si="50"/>
        <v>16.666666666667187</v>
      </c>
      <c r="I437">
        <f t="shared" si="52"/>
        <v>1.1368683772161441E-11</v>
      </c>
    </row>
    <row r="438" spans="1:9">
      <c r="A438">
        <f t="shared" si="48"/>
        <v>41.600000000000321</v>
      </c>
      <c r="C438">
        <f t="shared" si="46"/>
        <v>1730.5600000000268</v>
      </c>
      <c r="D438">
        <f t="shared" si="49"/>
        <v>83.100000000000549</v>
      </c>
      <c r="E438">
        <f t="shared" si="51"/>
        <v>1.9999999999981526</v>
      </c>
      <c r="G438">
        <f t="shared" si="47"/>
        <v>693.33333333333871</v>
      </c>
      <c r="H438">
        <f t="shared" si="50"/>
        <v>16.66666666666605</v>
      </c>
      <c r="I438">
        <f t="shared" si="52"/>
        <v>-1.1368683772161441E-11</v>
      </c>
    </row>
    <row r="439" spans="1:9">
      <c r="A439">
        <f t="shared" si="48"/>
        <v>41.700000000000323</v>
      </c>
      <c r="C439">
        <f t="shared" si="46"/>
        <v>1738.8900000000269</v>
      </c>
      <c r="D439">
        <f t="shared" si="49"/>
        <v>83.300000000000367</v>
      </c>
      <c r="E439">
        <f t="shared" si="51"/>
        <v>1.9999999999981526</v>
      </c>
      <c r="G439">
        <f t="shared" si="47"/>
        <v>695.00000000000546</v>
      </c>
      <c r="H439">
        <f t="shared" si="50"/>
        <v>16.666666666667187</v>
      </c>
      <c r="I439">
        <f t="shared" si="52"/>
        <v>1.1368683772161441E-11</v>
      </c>
    </row>
    <row r="440" spans="1:9">
      <c r="A440">
        <f t="shared" si="48"/>
        <v>41.800000000000324</v>
      </c>
      <c r="C440">
        <f t="shared" si="46"/>
        <v>1747.2400000000271</v>
      </c>
      <c r="D440">
        <f t="shared" si="49"/>
        <v>83.500000000000171</v>
      </c>
      <c r="E440">
        <f t="shared" si="51"/>
        <v>1.9999999999980105</v>
      </c>
      <c r="G440">
        <f t="shared" si="47"/>
        <v>696.66666666667209</v>
      </c>
      <c r="H440">
        <f t="shared" si="50"/>
        <v>16.66666666666605</v>
      </c>
      <c r="I440">
        <f t="shared" si="52"/>
        <v>-1.1368683772161441E-11</v>
      </c>
    </row>
    <row r="441" spans="1:9">
      <c r="A441">
        <f t="shared" si="48"/>
        <v>41.900000000000325</v>
      </c>
      <c r="C441">
        <f t="shared" si="46"/>
        <v>1755.6100000000272</v>
      </c>
      <c r="D441">
        <f t="shared" si="49"/>
        <v>83.699999999999989</v>
      </c>
      <c r="E441">
        <f t="shared" si="51"/>
        <v>1.9999999999981526</v>
      </c>
      <c r="G441">
        <f t="shared" si="47"/>
        <v>698.33333333333883</v>
      </c>
      <c r="H441">
        <f t="shared" si="50"/>
        <v>16.666666666667187</v>
      </c>
      <c r="I441">
        <f t="shared" si="52"/>
        <v>1.1368683772161441E-11</v>
      </c>
    </row>
    <row r="442" spans="1:9">
      <c r="A442">
        <f t="shared" si="48"/>
        <v>42.000000000000327</v>
      </c>
      <c r="C442">
        <f t="shared" si="46"/>
        <v>1764.0000000000275</v>
      </c>
      <c r="D442">
        <f t="shared" si="49"/>
        <v>83.90000000000208</v>
      </c>
      <c r="E442">
        <f t="shared" si="51"/>
        <v>2.00000000002089</v>
      </c>
      <c r="G442">
        <f t="shared" si="47"/>
        <v>700.00000000000546</v>
      </c>
      <c r="H442">
        <f t="shared" si="50"/>
        <v>16.66666666666605</v>
      </c>
      <c r="I442">
        <f t="shared" si="52"/>
        <v>-1.1368683772161441E-11</v>
      </c>
    </row>
    <row r="443" spans="1:9">
      <c r="A443">
        <f t="shared" si="48"/>
        <v>42.100000000000328</v>
      </c>
      <c r="C443">
        <f t="shared" ref="C443:C447" si="53">$D$15+$D$16*A443+($D$17*A443^2)/2</f>
        <v>1772.4100000000276</v>
      </c>
      <c r="D443">
        <f t="shared" si="49"/>
        <v>84.099999999999625</v>
      </c>
      <c r="E443">
        <f t="shared" si="51"/>
        <v>1.9999999999754152</v>
      </c>
      <c r="G443">
        <f t="shared" ref="G443:G447" si="54">$H$16+$K$15*A443</f>
        <v>701.6666666666722</v>
      </c>
      <c r="H443">
        <f t="shared" si="50"/>
        <v>16.666666666667187</v>
      </c>
      <c r="I443">
        <f t="shared" si="52"/>
        <v>1.1368683772161441E-11</v>
      </c>
    </row>
    <row r="444" spans="1:9">
      <c r="A444">
        <f t="shared" si="48"/>
        <v>42.20000000000033</v>
      </c>
      <c r="C444">
        <f t="shared" si="53"/>
        <v>1780.8400000000279</v>
      </c>
      <c r="D444">
        <f t="shared" si="49"/>
        <v>84.300000000001717</v>
      </c>
      <c r="E444">
        <f t="shared" si="51"/>
        <v>2.00000000002089</v>
      </c>
      <c r="G444">
        <f t="shared" si="54"/>
        <v>703.33333333333883</v>
      </c>
      <c r="H444">
        <f t="shared" si="50"/>
        <v>16.66666666666605</v>
      </c>
      <c r="I444">
        <f t="shared" si="52"/>
        <v>-1.1368683772161441E-11</v>
      </c>
    </row>
    <row r="445" spans="1:9">
      <c r="A445">
        <f t="shared" si="48"/>
        <v>42.300000000000331</v>
      </c>
      <c r="C445">
        <f t="shared" si="53"/>
        <v>1789.2900000000279</v>
      </c>
      <c r="D445">
        <f t="shared" si="49"/>
        <v>84.499999999999261</v>
      </c>
      <c r="E445">
        <f t="shared" si="51"/>
        <v>1.9999999999754152</v>
      </c>
      <c r="G445">
        <f t="shared" si="54"/>
        <v>705.00000000000557</v>
      </c>
      <c r="H445">
        <f t="shared" si="50"/>
        <v>16.666666666667187</v>
      </c>
      <c r="I445">
        <f t="shared" si="52"/>
        <v>1.1368683772161441E-11</v>
      </c>
    </row>
    <row r="446" spans="1:9">
      <c r="A446">
        <f t="shared" si="48"/>
        <v>42.400000000000333</v>
      </c>
      <c r="C446">
        <f t="shared" si="53"/>
        <v>1797.7600000000282</v>
      </c>
      <c r="D446">
        <f t="shared" si="49"/>
        <v>84.700000000001339</v>
      </c>
      <c r="E446">
        <f t="shared" si="51"/>
        <v>2.0000000000207478</v>
      </c>
      <c r="G446">
        <f t="shared" si="54"/>
        <v>706.66666666667231</v>
      </c>
      <c r="H446">
        <f t="shared" si="50"/>
        <v>16.666666666667187</v>
      </c>
      <c r="I446">
        <f t="shared" si="52"/>
        <v>0</v>
      </c>
    </row>
    <row r="447" spans="1:9">
      <c r="A447">
        <f t="shared" si="48"/>
        <v>42.500000000000334</v>
      </c>
      <c r="C447">
        <f t="shared" si="53"/>
        <v>1806.2500000000284</v>
      </c>
      <c r="D447">
        <f t="shared" si="49"/>
        <v>84.900000000001157</v>
      </c>
      <c r="E447">
        <f t="shared" si="51"/>
        <v>1.9999999999981526</v>
      </c>
      <c r="G447">
        <f t="shared" si="54"/>
        <v>708.33333333333894</v>
      </c>
      <c r="H447">
        <f t="shared" si="50"/>
        <v>16.66666666666605</v>
      </c>
      <c r="I447">
        <f t="shared" si="52"/>
        <v>-1.1368683772161441E-11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B3:N24"/>
  <sheetViews>
    <sheetView tabSelected="1" topLeftCell="A12" workbookViewId="0">
      <selection activeCell="R34" sqref="R34"/>
    </sheetView>
  </sheetViews>
  <sheetFormatPr defaultRowHeight="15"/>
  <cols>
    <col min="2" max="2" width="8.5703125" bestFit="1" customWidth="1"/>
    <col min="3" max="3" width="7.5703125" bestFit="1" customWidth="1"/>
    <col min="4" max="4" width="7" bestFit="1" customWidth="1"/>
    <col min="8" max="8" width="12.28515625" bestFit="1" customWidth="1"/>
    <col min="9" max="9" width="5.28515625" bestFit="1" customWidth="1"/>
    <col min="10" max="10" width="8.28515625" customWidth="1"/>
  </cols>
  <sheetData>
    <row r="3" spans="2:14">
      <c r="E3" s="15">
        <f ca="1">NOW()</f>
        <v>42844.604976967596</v>
      </c>
      <c r="F3" s="15"/>
    </row>
    <row r="4" spans="2:14">
      <c r="E4" s="15"/>
      <c r="F4" s="15"/>
    </row>
    <row r="5" spans="2:14">
      <c r="E5" s="14" t="s">
        <v>30</v>
      </c>
      <c r="F5" s="14"/>
      <c r="G5" s="14" t="s">
        <v>31</v>
      </c>
      <c r="H5" s="14"/>
    </row>
    <row r="6" spans="2:14">
      <c r="D6" t="s">
        <v>25</v>
      </c>
      <c r="E6" t="s">
        <v>26</v>
      </c>
      <c r="F6" t="s">
        <v>27</v>
      </c>
      <c r="G6" t="s">
        <v>28</v>
      </c>
      <c r="H6" t="s">
        <v>29</v>
      </c>
      <c r="N6" t="s">
        <v>32</v>
      </c>
    </row>
    <row r="7" spans="2:14">
      <c r="B7" t="s">
        <v>22</v>
      </c>
      <c r="C7">
        <f ca="1">HOUR(E3)</f>
        <v>14</v>
      </c>
      <c r="D7">
        <f ca="1">(360*C7)/12+(30*C8)/60</f>
        <v>435.5</v>
      </c>
      <c r="E7">
        <v>0</v>
      </c>
      <c r="F7">
        <v>0</v>
      </c>
      <c r="G7">
        <f ca="1">SIN(RADIANS(D7))*N7</f>
        <v>0.48407382018905382</v>
      </c>
      <c r="H7">
        <f ca="1">COS(RADIANS(D7))*N7</f>
        <v>0.12519000202722097</v>
      </c>
      <c r="N7" s="13">
        <v>0.5</v>
      </c>
    </row>
    <row r="8" spans="2:14">
      <c r="B8" t="s">
        <v>23</v>
      </c>
      <c r="C8">
        <f ca="1">MINUTE(E3)</f>
        <v>31</v>
      </c>
      <c r="D8">
        <f ca="1">(360*C8)/60</f>
        <v>186</v>
      </c>
      <c r="E8">
        <v>0</v>
      </c>
      <c r="F8">
        <v>0</v>
      </c>
      <c r="G8">
        <f ca="1">SIN(RADIANS(D8))*N8</f>
        <v>-7.8396347450740117E-2</v>
      </c>
      <c r="H8">
        <f ca="1">COS(RADIANS(D8))*N8</f>
        <v>-0.74589142152620491</v>
      </c>
      <c r="N8" s="13">
        <v>0.75</v>
      </c>
    </row>
    <row r="9" spans="2:14">
      <c r="B9" t="s">
        <v>24</v>
      </c>
      <c r="C9">
        <f ca="1">SECOND(E3)</f>
        <v>10</v>
      </c>
      <c r="D9">
        <f ca="1">(360*C9)/60</f>
        <v>60</v>
      </c>
      <c r="E9">
        <v>0</v>
      </c>
      <c r="F9">
        <v>0</v>
      </c>
      <c r="G9">
        <f ca="1">SIN(RADIANS(D9))*N9</f>
        <v>0.77942286340599476</v>
      </c>
      <c r="H9">
        <f ca="1">COS(RADIANS(D9))*N9</f>
        <v>0.45000000000000012</v>
      </c>
      <c r="N9" s="13">
        <v>0.9</v>
      </c>
    </row>
    <row r="12" spans="2:14">
      <c r="B12" t="s">
        <v>22</v>
      </c>
      <c r="C12" t="s">
        <v>25</v>
      </c>
      <c r="E12" t="s">
        <v>28</v>
      </c>
      <c r="F12" t="s">
        <v>29</v>
      </c>
    </row>
    <row r="13" spans="2:14">
      <c r="B13">
        <v>1</v>
      </c>
      <c r="C13">
        <v>30</v>
      </c>
      <c r="E13">
        <f>SIN(RADIANS(C13))</f>
        <v>0.49999999999999994</v>
      </c>
      <c r="F13">
        <f>COS(RADIANS(C13))</f>
        <v>0.86602540378443871</v>
      </c>
    </row>
    <row r="14" spans="2:14">
      <c r="B14">
        <v>2</v>
      </c>
      <c r="C14">
        <v>60</v>
      </c>
      <c r="E14">
        <f t="shared" ref="E14:E24" si="0">SIN(RADIANS(C14))</f>
        <v>0.8660254037844386</v>
      </c>
      <c r="F14">
        <f t="shared" ref="F14:F24" si="1">COS(RADIANS(C14))</f>
        <v>0.50000000000000011</v>
      </c>
    </row>
    <row r="15" spans="2:14">
      <c r="B15">
        <v>3</v>
      </c>
      <c r="C15">
        <v>90</v>
      </c>
      <c r="E15">
        <f t="shared" si="0"/>
        <v>1</v>
      </c>
      <c r="F15">
        <f t="shared" si="1"/>
        <v>6.1257422745431001E-17</v>
      </c>
    </row>
    <row r="16" spans="2:14">
      <c r="B16">
        <v>4</v>
      </c>
      <c r="C16">
        <v>120</v>
      </c>
      <c r="E16">
        <f t="shared" si="0"/>
        <v>0.86602540378443871</v>
      </c>
      <c r="F16">
        <f t="shared" si="1"/>
        <v>-0.49999999999999978</v>
      </c>
    </row>
    <row r="17" spans="2:6">
      <c r="B17">
        <v>5</v>
      </c>
      <c r="C17">
        <v>150</v>
      </c>
      <c r="E17">
        <f t="shared" si="0"/>
        <v>0.49999999999999994</v>
      </c>
      <c r="F17">
        <f t="shared" si="1"/>
        <v>-0.86602540378443871</v>
      </c>
    </row>
    <row r="18" spans="2:6">
      <c r="B18">
        <v>6</v>
      </c>
      <c r="C18">
        <v>180</v>
      </c>
      <c r="E18">
        <f t="shared" si="0"/>
        <v>1.22514845490862E-16</v>
      </c>
      <c r="F18">
        <f t="shared" si="1"/>
        <v>-1</v>
      </c>
    </row>
    <row r="19" spans="2:6">
      <c r="B19">
        <v>7</v>
      </c>
      <c r="C19">
        <v>210</v>
      </c>
      <c r="E19">
        <f t="shared" si="0"/>
        <v>-0.50000000000000011</v>
      </c>
      <c r="F19">
        <f t="shared" si="1"/>
        <v>-0.8660254037844386</v>
      </c>
    </row>
    <row r="20" spans="2:6">
      <c r="B20">
        <v>8</v>
      </c>
      <c r="C20">
        <v>240</v>
      </c>
      <c r="E20">
        <f t="shared" si="0"/>
        <v>-0.86602540378443837</v>
      </c>
      <c r="F20">
        <f t="shared" si="1"/>
        <v>-0.50000000000000044</v>
      </c>
    </row>
    <row r="21" spans="2:6">
      <c r="B21">
        <v>9</v>
      </c>
      <c r="C21">
        <v>270</v>
      </c>
      <c r="E21">
        <f t="shared" si="0"/>
        <v>-1</v>
      </c>
      <c r="F21">
        <f t="shared" si="1"/>
        <v>-1.83772268236293E-16</v>
      </c>
    </row>
    <row r="22" spans="2:6">
      <c r="B22">
        <v>10</v>
      </c>
      <c r="C22">
        <v>300</v>
      </c>
      <c r="E22">
        <f t="shared" si="0"/>
        <v>-0.8660254037844386</v>
      </c>
      <c r="F22">
        <f t="shared" si="1"/>
        <v>0.50000000000000011</v>
      </c>
    </row>
    <row r="23" spans="2:6">
      <c r="B23">
        <v>11</v>
      </c>
      <c r="C23">
        <v>330</v>
      </c>
      <c r="E23">
        <f t="shared" si="0"/>
        <v>-0.50000000000000044</v>
      </c>
      <c r="F23">
        <f t="shared" si="1"/>
        <v>0.86602540378443837</v>
      </c>
    </row>
    <row r="24" spans="2:6">
      <c r="B24">
        <v>12</v>
      </c>
      <c r="C24">
        <v>360</v>
      </c>
      <c r="E24">
        <f t="shared" si="0"/>
        <v>-2.45029690981724E-16</v>
      </c>
      <c r="F24">
        <f t="shared" si="1"/>
        <v>1</v>
      </c>
    </row>
  </sheetData>
  <mergeCells count="3">
    <mergeCell ref="E5:F5"/>
    <mergeCell ref="G5:H5"/>
    <mergeCell ref="E3: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Relógio</vt:lpstr>
      <vt:lpstr>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</dc:creator>
  <cp:lastModifiedBy>LEBFPetrus</cp:lastModifiedBy>
  <dcterms:created xsi:type="dcterms:W3CDTF">2017-03-29T18:44:19Z</dcterms:created>
  <dcterms:modified xsi:type="dcterms:W3CDTF">2017-04-19T17:32:24Z</dcterms:modified>
</cp:coreProperties>
</file>